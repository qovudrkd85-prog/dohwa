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개인 FIle\00_dohwa\03_토목기술팀\00_result\2026-05-18_16-45_은척_기왕호우우량주상도\"/>
    </mc:Choice>
  </mc:AlternateContent>
  <xr:revisionPtr revIDLastSave="0" documentId="13_ncr:1_{C9092593-DCD2-4658-B88A-D5CE2F24EAD4}" xr6:coauthVersionLast="36" xr6:coauthVersionMax="36" xr10:uidLastSave="{00000000-0000-0000-0000-000000000000}"/>
  <bookViews>
    <workbookView minimized="1" xWindow="3900" yWindow="540" windowWidth="12420" windowHeight="7740" tabRatio="930" xr2:uid="{00000000-000D-0000-FFFF-FFFF00000000}"/>
  </bookViews>
  <sheets>
    <sheet name="우량주상도(2011.08.08" sheetId="23" r:id="rId1"/>
    <sheet name="우량주상도(2017년)" sheetId="19" r:id="rId2"/>
    <sheet name="우량주상도(2020.07.13)" sheetId="20" r:id="rId3"/>
    <sheet name="우량주상도(2023.07.14" sheetId="22" r:id="rId4"/>
  </sheets>
  <calcPr calcId="191029"/>
</workbook>
</file>

<file path=xl/calcChain.xml><?xml version="1.0" encoding="utf-8"?>
<calcChain xmlns="http://schemas.openxmlformats.org/spreadsheetml/2006/main">
  <c r="W41" i="23" l="1"/>
  <c r="V41" i="23"/>
  <c r="U41" i="23"/>
  <c r="T1" i="23" s="1"/>
  <c r="V1" i="23"/>
  <c r="Q1" i="23"/>
  <c r="C46" i="19" l="1"/>
  <c r="C47" i="19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B47" i="23"/>
  <c r="C61" i="20" l="1"/>
  <c r="C65" i="22" l="1"/>
  <c r="B61" i="20"/>
  <c r="C4" i="19"/>
  <c r="C5" i="19" s="1"/>
  <c r="W2" i="22" l="1"/>
  <c r="P46" i="22"/>
  <c r="O46" i="22"/>
  <c r="N46" i="22"/>
  <c r="U2" i="22" s="1"/>
  <c r="R2" i="22"/>
  <c r="V1" i="20"/>
  <c r="S41" i="20"/>
  <c r="R41" i="20"/>
  <c r="Q41" i="20"/>
  <c r="T1" i="20" s="1"/>
  <c r="Q1" i="20"/>
  <c r="R38" i="19"/>
  <c r="Q38" i="19"/>
  <c r="P38" i="19"/>
  <c r="W1" i="19"/>
  <c r="R1" i="19"/>
  <c r="B65" i="22"/>
  <c r="U1" i="19" l="1"/>
  <c r="C4" i="23"/>
  <c r="C5" i="23" s="1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" i="22"/>
  <c r="C5" i="22" s="1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C35" i="22" s="1"/>
  <c r="C36" i="22" s="1"/>
  <c r="C37" i="22" s="1"/>
  <c r="C38" i="22" s="1"/>
  <c r="C39" i="22" s="1"/>
  <c r="C40" i="22" s="1"/>
  <c r="C41" i="22" s="1"/>
  <c r="C42" i="22" s="1"/>
  <c r="C43" i="22" s="1"/>
  <c r="C44" i="22" s="1"/>
  <c r="C45" i="22" s="1"/>
  <c r="C46" i="22" s="1"/>
  <c r="C47" i="22" s="1"/>
  <c r="C48" i="22" s="1"/>
  <c r="C49" i="22" s="1"/>
  <c r="C50" i="22" s="1"/>
  <c r="C51" i="22" s="1"/>
  <c r="C52" i="22" s="1"/>
  <c r="C53" i="22" s="1"/>
  <c r="C54" i="22" s="1"/>
  <c r="C55" i="22" s="1"/>
  <c r="C56" i="22" s="1"/>
  <c r="C57" i="22" s="1"/>
  <c r="C58" i="22" s="1"/>
  <c r="C59" i="22" s="1"/>
  <c r="C60" i="22" s="1"/>
  <c r="C61" i="22" s="1"/>
  <c r="C62" i="22" s="1"/>
  <c r="C63" i="22" s="1"/>
  <c r="C64" i="22" s="1"/>
  <c r="C4" i="20" l="1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6" i="19" l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C43" i="19" s="1"/>
  <c r="C44" i="19" s="1"/>
  <c r="C45" i="19" s="1"/>
  <c r="C23" i="20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C41" i="20" s="1"/>
  <c r="C42" i="20" s="1"/>
  <c r="C43" i="20" s="1"/>
  <c r="C44" i="20" s="1"/>
  <c r="C45" i="20" s="1"/>
  <c r="C46" i="20" s="1"/>
  <c r="C47" i="20" s="1"/>
  <c r="C48" i="20" s="1"/>
  <c r="C49" i="20" s="1"/>
  <c r="C50" i="20" s="1"/>
  <c r="C51" i="20" s="1"/>
  <c r="C52" i="20" s="1"/>
  <c r="C53" i="20" s="1"/>
  <c r="C54" i="20" s="1"/>
  <c r="C55" i="20" s="1"/>
  <c r="C56" i="20" s="1"/>
  <c r="C57" i="20" s="1"/>
  <c r="C58" i="20" s="1"/>
  <c r="C59" i="20" s="1"/>
  <c r="C60" i="20" s="1"/>
  <c r="D6" i="20"/>
  <c r="D5" i="20"/>
  <c r="D4" i="20"/>
</calcChain>
</file>

<file path=xl/sharedStrings.xml><?xml version="1.0" encoding="utf-8"?>
<sst xmlns="http://schemas.openxmlformats.org/spreadsheetml/2006/main" count="78" uniqueCount="33">
  <si>
    <t>시각</t>
    <phoneticPr fontId="4" type="noConversion"/>
  </si>
  <si>
    <t>계</t>
    <phoneticPr fontId="4" type="noConversion"/>
  </si>
  <si>
    <t>기상청</t>
    <phoneticPr fontId="1" type="noConversion"/>
  </si>
  <si>
    <t>2016.07.04.(집중호우)</t>
  </si>
  <si>
    <t>(2년 빈도)</t>
  </si>
  <si>
    <t>(12년 빈도)</t>
  </si>
  <si>
    <t>2020.07.13.(집중호우)</t>
  </si>
  <si>
    <t>2023.07.14.(집중호우)</t>
  </si>
  <si>
    <t>(10년 빈도)</t>
  </si>
  <si>
    <t>2023.08.10.(태풍카눈)</t>
  </si>
  <si>
    <t>2020.07.12~2020.07.14</t>
    <phoneticPr fontId="4" type="noConversion"/>
  </si>
  <si>
    <t>2016.07.03~2016.07.05</t>
    <phoneticPr fontId="1" type="noConversion"/>
  </si>
  <si>
    <t>ASOS</t>
    <phoneticPr fontId="1" type="noConversion"/>
  </si>
  <si>
    <t>AWS</t>
    <phoneticPr fontId="1" type="noConversion"/>
  </si>
  <si>
    <t>은척관측소</t>
    <phoneticPr fontId="1" type="noConversion"/>
  </si>
  <si>
    <t>2016.07.03</t>
    <phoneticPr fontId="1" type="noConversion"/>
  </si>
  <si>
    <t>2016.07.04</t>
    <phoneticPr fontId="1" type="noConversion"/>
  </si>
  <si>
    <t>2016.07.05</t>
    <phoneticPr fontId="1" type="noConversion"/>
  </si>
  <si>
    <t>2020.07.12</t>
    <phoneticPr fontId="1" type="noConversion"/>
  </si>
  <si>
    <t>2020.07.13</t>
    <phoneticPr fontId="1" type="noConversion"/>
  </si>
  <si>
    <t>2020.07.14</t>
    <phoneticPr fontId="1" type="noConversion"/>
  </si>
  <si>
    <t>2023.07.13</t>
    <phoneticPr fontId="1" type="noConversion"/>
  </si>
  <si>
    <t>2023.07.14</t>
    <phoneticPr fontId="1" type="noConversion"/>
  </si>
  <si>
    <t>2023.07.15</t>
    <phoneticPr fontId="1" type="noConversion"/>
  </si>
  <si>
    <t>1시간최대</t>
    <phoneticPr fontId="1" type="noConversion"/>
  </si>
  <si>
    <t>일최대</t>
    <phoneticPr fontId="1" type="noConversion"/>
  </si>
  <si>
    <t>기간총강우</t>
    <phoneticPr fontId="1" type="noConversion"/>
  </si>
  <si>
    <t>합계</t>
    <phoneticPr fontId="1" type="noConversion"/>
  </si>
  <si>
    <t xml:space="preserve"> </t>
    <phoneticPr fontId="1" type="noConversion"/>
  </si>
  <si>
    <t>2011.08.07</t>
    <phoneticPr fontId="1" type="noConversion"/>
  </si>
  <si>
    <t>2011.08.08</t>
    <phoneticPr fontId="1" type="noConversion"/>
  </si>
  <si>
    <t>2011.08.09</t>
    <phoneticPr fontId="1" type="noConversion"/>
  </si>
  <si>
    <t>2011.08.07~2011.08.09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</si>
</sst>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2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0" borderId="0"/>
  </cellStyleXfs>
  <cellXfs count="18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0" borderId="1" xfId="1" applyFont="1" applyBorder="1">
      <alignment vertical="center"/>
    </xf>
    <xf numFmtId="176" fontId="3" fillId="0" borderId="1" xfId="1" applyNumberFormat="1" applyFont="1" applyBorder="1">
      <alignment vertical="center"/>
    </xf>
    <xf numFmtId="177" fontId="5" fillId="0" borderId="4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22" fontId="0" fillId="0" borderId="0" xfId="0" applyNumberForma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4">
    <cellStyle name="표준" xfId="0" builtinId="0"/>
    <cellStyle name="표준 2" xfId="1" xr:uid="{00000000-0005-0000-0000-000001000000}"/>
    <cellStyle name="표준 2 2" xfId="2" xr:uid="{46991CCC-540E-4CB7-A3B7-CE2CF89771F9}"/>
    <cellStyle name="표준 2 2 2" xfId="3" xr:uid="{F65C288F-6005-4B37-A8A7-5C6457A90A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830673192878274E-2"/>
          <c:y val="3.8929532888374682E-2"/>
          <c:w val="0.79302617578208057"/>
          <c:h val="0.7769685358673231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'우량주상도(2011.08.08'!$A$4:$A$46</c:f>
              <c:numCache>
                <c:formatCode>m/d/yyyy\ h:mm</c:formatCode>
                <c:ptCount val="43"/>
                <c:pt idx="0">
                  <c:v>40762.958333333336</c:v>
                </c:pt>
                <c:pt idx="1">
                  <c:v>40763</c:v>
                </c:pt>
                <c:pt idx="2">
                  <c:v>40763.041666666664</c:v>
                </c:pt>
                <c:pt idx="3">
                  <c:v>40763.083333333336</c:v>
                </c:pt>
                <c:pt idx="4">
                  <c:v>40763.125</c:v>
                </c:pt>
                <c:pt idx="5">
                  <c:v>40763.166666666664</c:v>
                </c:pt>
                <c:pt idx="6">
                  <c:v>40763.208333333336</c:v>
                </c:pt>
                <c:pt idx="7">
                  <c:v>40763.25</c:v>
                </c:pt>
                <c:pt idx="8">
                  <c:v>40763.291666666664</c:v>
                </c:pt>
                <c:pt idx="9">
                  <c:v>40763.333333333336</c:v>
                </c:pt>
                <c:pt idx="10">
                  <c:v>40763.375</c:v>
                </c:pt>
                <c:pt idx="11">
                  <c:v>40763.416666666664</c:v>
                </c:pt>
                <c:pt idx="12">
                  <c:v>40763.458333333336</c:v>
                </c:pt>
                <c:pt idx="13">
                  <c:v>40763.5</c:v>
                </c:pt>
                <c:pt idx="14">
                  <c:v>40763.541666666664</c:v>
                </c:pt>
                <c:pt idx="15">
                  <c:v>40763.583333333336</c:v>
                </c:pt>
                <c:pt idx="16">
                  <c:v>40763.625</c:v>
                </c:pt>
                <c:pt idx="17">
                  <c:v>40763.666666666664</c:v>
                </c:pt>
                <c:pt idx="18">
                  <c:v>40763.708333333336</c:v>
                </c:pt>
                <c:pt idx="19">
                  <c:v>40763.75</c:v>
                </c:pt>
                <c:pt idx="20">
                  <c:v>40763.791666666664</c:v>
                </c:pt>
                <c:pt idx="21">
                  <c:v>40763.833333333336</c:v>
                </c:pt>
                <c:pt idx="22">
                  <c:v>40763.875</c:v>
                </c:pt>
                <c:pt idx="23">
                  <c:v>40763.916666666664</c:v>
                </c:pt>
                <c:pt idx="24">
                  <c:v>40763.958333333336</c:v>
                </c:pt>
                <c:pt idx="25">
                  <c:v>40764</c:v>
                </c:pt>
                <c:pt idx="26">
                  <c:v>40764.041666666664</c:v>
                </c:pt>
                <c:pt idx="27">
                  <c:v>40764.083333333336</c:v>
                </c:pt>
                <c:pt idx="28">
                  <c:v>40764.125</c:v>
                </c:pt>
                <c:pt idx="29">
                  <c:v>40764.166666666664</c:v>
                </c:pt>
                <c:pt idx="30">
                  <c:v>40764.208333333336</c:v>
                </c:pt>
                <c:pt idx="31">
                  <c:v>40764.25</c:v>
                </c:pt>
                <c:pt idx="32">
                  <c:v>40764.291666666664</c:v>
                </c:pt>
                <c:pt idx="33">
                  <c:v>40764.333333333336</c:v>
                </c:pt>
                <c:pt idx="34">
                  <c:v>40764.375</c:v>
                </c:pt>
                <c:pt idx="35">
                  <c:v>40764.416666666664</c:v>
                </c:pt>
                <c:pt idx="36">
                  <c:v>40764.458333333336</c:v>
                </c:pt>
                <c:pt idx="37">
                  <c:v>40764.5</c:v>
                </c:pt>
                <c:pt idx="38">
                  <c:v>40764.541666666664</c:v>
                </c:pt>
                <c:pt idx="39">
                  <c:v>40764.583333333336</c:v>
                </c:pt>
                <c:pt idx="40">
                  <c:v>40764.625</c:v>
                </c:pt>
                <c:pt idx="41">
                  <c:v>40764.666666666664</c:v>
                </c:pt>
                <c:pt idx="42">
                  <c:v>40764.708333333336</c:v>
                </c:pt>
              </c:numCache>
            </c:numRef>
          </c:cat>
          <c:val>
            <c:numRef>
              <c:f>'우량주상도(2011.08.08'!$B$4:$B$46</c:f>
              <c:numCache>
                <c:formatCode>General</c:formatCode>
                <c:ptCount val="43"/>
                <c:pt idx="0">
                  <c:v>3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37.5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11.5</c:v>
                </c:pt>
                <c:pt idx="35">
                  <c:v>10.5</c:v>
                </c:pt>
                <c:pt idx="36">
                  <c:v>8</c:v>
                </c:pt>
                <c:pt idx="37">
                  <c:v>8.5</c:v>
                </c:pt>
                <c:pt idx="38">
                  <c:v>5</c:v>
                </c:pt>
                <c:pt idx="39">
                  <c:v>4</c:v>
                </c:pt>
                <c:pt idx="40">
                  <c:v>6</c:v>
                </c:pt>
                <c:pt idx="41">
                  <c:v>5.5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6-4C88-95B5-B99F99CA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530176"/>
        <c:axId val="92532096"/>
      </c:bar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'우량주상도(2011.08.08'!$A$4:$A$46</c:f>
              <c:numCache>
                <c:formatCode>m/d/yyyy\ h:mm</c:formatCode>
                <c:ptCount val="43"/>
                <c:pt idx="0">
                  <c:v>40762.958333333336</c:v>
                </c:pt>
                <c:pt idx="1">
                  <c:v>40763</c:v>
                </c:pt>
                <c:pt idx="2">
                  <c:v>40763.041666666664</c:v>
                </c:pt>
                <c:pt idx="3">
                  <c:v>40763.083333333336</c:v>
                </c:pt>
                <c:pt idx="4">
                  <c:v>40763.125</c:v>
                </c:pt>
                <c:pt idx="5">
                  <c:v>40763.166666666664</c:v>
                </c:pt>
                <c:pt idx="6">
                  <c:v>40763.208333333336</c:v>
                </c:pt>
                <c:pt idx="7">
                  <c:v>40763.25</c:v>
                </c:pt>
                <c:pt idx="8">
                  <c:v>40763.291666666664</c:v>
                </c:pt>
                <c:pt idx="9">
                  <c:v>40763.333333333336</c:v>
                </c:pt>
                <c:pt idx="10">
                  <c:v>40763.375</c:v>
                </c:pt>
                <c:pt idx="11">
                  <c:v>40763.416666666664</c:v>
                </c:pt>
                <c:pt idx="12">
                  <c:v>40763.458333333336</c:v>
                </c:pt>
                <c:pt idx="13">
                  <c:v>40763.5</c:v>
                </c:pt>
                <c:pt idx="14">
                  <c:v>40763.541666666664</c:v>
                </c:pt>
                <c:pt idx="15">
                  <c:v>40763.583333333336</c:v>
                </c:pt>
                <c:pt idx="16">
                  <c:v>40763.625</c:v>
                </c:pt>
                <c:pt idx="17">
                  <c:v>40763.666666666664</c:v>
                </c:pt>
                <c:pt idx="18">
                  <c:v>40763.708333333336</c:v>
                </c:pt>
                <c:pt idx="19">
                  <c:v>40763.75</c:v>
                </c:pt>
                <c:pt idx="20">
                  <c:v>40763.791666666664</c:v>
                </c:pt>
                <c:pt idx="21">
                  <c:v>40763.833333333336</c:v>
                </c:pt>
                <c:pt idx="22">
                  <c:v>40763.875</c:v>
                </c:pt>
                <c:pt idx="23">
                  <c:v>40763.916666666664</c:v>
                </c:pt>
                <c:pt idx="24">
                  <c:v>40763.958333333336</c:v>
                </c:pt>
                <c:pt idx="25">
                  <c:v>40764</c:v>
                </c:pt>
                <c:pt idx="26">
                  <c:v>40764.041666666664</c:v>
                </c:pt>
                <c:pt idx="27">
                  <c:v>40764.083333333336</c:v>
                </c:pt>
                <c:pt idx="28">
                  <c:v>40764.125</c:v>
                </c:pt>
                <c:pt idx="29">
                  <c:v>40764.166666666664</c:v>
                </c:pt>
                <c:pt idx="30">
                  <c:v>40764.208333333336</c:v>
                </c:pt>
                <c:pt idx="31">
                  <c:v>40764.25</c:v>
                </c:pt>
                <c:pt idx="32">
                  <c:v>40764.291666666664</c:v>
                </c:pt>
                <c:pt idx="33">
                  <c:v>40764.333333333336</c:v>
                </c:pt>
                <c:pt idx="34">
                  <c:v>40764.375</c:v>
                </c:pt>
                <c:pt idx="35">
                  <c:v>40764.416666666664</c:v>
                </c:pt>
                <c:pt idx="36">
                  <c:v>40764.458333333336</c:v>
                </c:pt>
                <c:pt idx="37">
                  <c:v>40764.5</c:v>
                </c:pt>
                <c:pt idx="38">
                  <c:v>40764.541666666664</c:v>
                </c:pt>
                <c:pt idx="39">
                  <c:v>40764.583333333336</c:v>
                </c:pt>
                <c:pt idx="40">
                  <c:v>40764.625</c:v>
                </c:pt>
                <c:pt idx="41">
                  <c:v>40764.666666666664</c:v>
                </c:pt>
                <c:pt idx="42">
                  <c:v>40764.708333333336</c:v>
                </c:pt>
              </c:numCache>
            </c:numRef>
          </c:cat>
          <c:val>
            <c:numRef>
              <c:f>'우량주상도(2011.08.08'!$C$4:$C$46</c:f>
              <c:numCache>
                <c:formatCode>0.0</c:formatCode>
                <c:ptCount val="43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29</c:v>
                </c:pt>
                <c:pt idx="4">
                  <c:v>66.5</c:v>
                </c:pt>
                <c:pt idx="5">
                  <c:v>70.5</c:v>
                </c:pt>
                <c:pt idx="6">
                  <c:v>70.5</c:v>
                </c:pt>
                <c:pt idx="7">
                  <c:v>70.5</c:v>
                </c:pt>
                <c:pt idx="8">
                  <c:v>70.5</c:v>
                </c:pt>
                <c:pt idx="9">
                  <c:v>70.5</c:v>
                </c:pt>
                <c:pt idx="10">
                  <c:v>70.5</c:v>
                </c:pt>
                <c:pt idx="11">
                  <c:v>70.5</c:v>
                </c:pt>
                <c:pt idx="12">
                  <c:v>70.5</c:v>
                </c:pt>
                <c:pt idx="13">
                  <c:v>70.5</c:v>
                </c:pt>
                <c:pt idx="14">
                  <c:v>70.5</c:v>
                </c:pt>
                <c:pt idx="15">
                  <c:v>70.5</c:v>
                </c:pt>
                <c:pt idx="16">
                  <c:v>70.5</c:v>
                </c:pt>
                <c:pt idx="17">
                  <c:v>70.5</c:v>
                </c:pt>
                <c:pt idx="18">
                  <c:v>70.5</c:v>
                </c:pt>
                <c:pt idx="19">
                  <c:v>70.5</c:v>
                </c:pt>
                <c:pt idx="20">
                  <c:v>70.5</c:v>
                </c:pt>
                <c:pt idx="21">
                  <c:v>70.5</c:v>
                </c:pt>
                <c:pt idx="22">
                  <c:v>70.5</c:v>
                </c:pt>
                <c:pt idx="23">
                  <c:v>70.5</c:v>
                </c:pt>
                <c:pt idx="24">
                  <c:v>70.5</c:v>
                </c:pt>
                <c:pt idx="25">
                  <c:v>70.5</c:v>
                </c:pt>
                <c:pt idx="26">
                  <c:v>70.5</c:v>
                </c:pt>
                <c:pt idx="27">
                  <c:v>70.5</c:v>
                </c:pt>
                <c:pt idx="28">
                  <c:v>70.5</c:v>
                </c:pt>
                <c:pt idx="29">
                  <c:v>70.5</c:v>
                </c:pt>
                <c:pt idx="30">
                  <c:v>70.5</c:v>
                </c:pt>
                <c:pt idx="31">
                  <c:v>70.5</c:v>
                </c:pt>
                <c:pt idx="32">
                  <c:v>70.5</c:v>
                </c:pt>
                <c:pt idx="33">
                  <c:v>72.5</c:v>
                </c:pt>
                <c:pt idx="34">
                  <c:v>84</c:v>
                </c:pt>
                <c:pt idx="35">
                  <c:v>94.5</c:v>
                </c:pt>
                <c:pt idx="36">
                  <c:v>102.5</c:v>
                </c:pt>
                <c:pt idx="37">
                  <c:v>111</c:v>
                </c:pt>
                <c:pt idx="38">
                  <c:v>116</c:v>
                </c:pt>
                <c:pt idx="39">
                  <c:v>120</c:v>
                </c:pt>
                <c:pt idx="40">
                  <c:v>126</c:v>
                </c:pt>
                <c:pt idx="41">
                  <c:v>131.5</c:v>
                </c:pt>
                <c:pt idx="42">
                  <c:v>132.5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06-4C88-95B5-B99F99CA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3424"/>
        <c:axId val="92584960"/>
      </c:lineChart>
      <c:catAx>
        <c:axId val="9253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일시</a:t>
                </a:r>
              </a:p>
            </c:rich>
          </c:tx>
          <c:layout>
            <c:manualLayout>
              <c:xMode val="edge"/>
              <c:yMode val="edge"/>
              <c:x val="0.47852438512270351"/>
              <c:y val="0.9045674820058493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\ h: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2096"/>
        <c:crosses val="autoZero"/>
        <c:auto val="0"/>
        <c:lblAlgn val="ctr"/>
        <c:lblOffset val="100"/>
        <c:tickLblSkip val="10"/>
        <c:tickMarkSkip val="6"/>
        <c:noMultiLvlLbl val="0"/>
      </c:catAx>
      <c:valAx>
        <c:axId val="92532096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가는각진제목체" pitchFamily="18" charset="-127"/>
                    <a:ea typeface="가는각진제목체" pitchFamily="18" charset="-127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강우량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1.6295635959172989E-3"/>
              <c:y val="0.34793268987204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0176"/>
        <c:crosses val="autoZero"/>
        <c:crossBetween val="between"/>
      </c:valAx>
      <c:catAx>
        <c:axId val="9258342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one"/>
        <c:crossAx val="92584960"/>
        <c:crosses val="autoZero"/>
        <c:auto val="0"/>
        <c:lblAlgn val="ctr"/>
        <c:lblOffset val="100"/>
        <c:noMultiLvlLbl val="0"/>
      </c:catAx>
      <c:valAx>
        <c:axId val="92584960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누가우량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95975289650634565"/>
              <c:y val="0.324401804774287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83424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>
      <c:oddHeader>&amp;A</c:oddHeader>
      <c:oddFooter>Page &amp;P</c:oddFooter>
    </c:headerFooter>
    <c:pageMargins b="1" l="0.75000000000000233" r="0.750000000000002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830673192878274E-2"/>
          <c:y val="3.8929532888374682E-2"/>
          <c:w val="0.79302617578208057"/>
          <c:h val="0.7769685358673231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'우량주상도(2017년)'!$A$4:$A$45</c:f>
              <c:numCache>
                <c:formatCode>m/d/yyyy\ h:mm</c:formatCode>
                <c:ptCount val="42"/>
                <c:pt idx="0">
                  <c:v>42931.958333333336</c:v>
                </c:pt>
                <c:pt idx="1">
                  <c:v>42932</c:v>
                </c:pt>
                <c:pt idx="2">
                  <c:v>42932.041666666664</c:v>
                </c:pt>
                <c:pt idx="3">
                  <c:v>42932.083333333336</c:v>
                </c:pt>
                <c:pt idx="4">
                  <c:v>42932.125</c:v>
                </c:pt>
                <c:pt idx="5">
                  <c:v>42932.166666666664</c:v>
                </c:pt>
                <c:pt idx="6">
                  <c:v>42932.208333333336</c:v>
                </c:pt>
                <c:pt idx="7">
                  <c:v>42932.25</c:v>
                </c:pt>
                <c:pt idx="8">
                  <c:v>42932.291666666664</c:v>
                </c:pt>
                <c:pt idx="9">
                  <c:v>42932.333333333336</c:v>
                </c:pt>
                <c:pt idx="10">
                  <c:v>42932.375</c:v>
                </c:pt>
                <c:pt idx="11">
                  <c:v>42932.416666666664</c:v>
                </c:pt>
                <c:pt idx="12">
                  <c:v>42932.458333333336</c:v>
                </c:pt>
                <c:pt idx="13">
                  <c:v>42932.5</c:v>
                </c:pt>
                <c:pt idx="14">
                  <c:v>42932.541666666664</c:v>
                </c:pt>
                <c:pt idx="15">
                  <c:v>42932.583333333336</c:v>
                </c:pt>
                <c:pt idx="16">
                  <c:v>42932.625</c:v>
                </c:pt>
                <c:pt idx="17">
                  <c:v>42932.666666666664</c:v>
                </c:pt>
                <c:pt idx="18">
                  <c:v>42932.708333333336</c:v>
                </c:pt>
                <c:pt idx="19">
                  <c:v>42932.75</c:v>
                </c:pt>
                <c:pt idx="20">
                  <c:v>42932.791666666664</c:v>
                </c:pt>
                <c:pt idx="21">
                  <c:v>42932.833333333336</c:v>
                </c:pt>
                <c:pt idx="22">
                  <c:v>42932.875</c:v>
                </c:pt>
                <c:pt idx="23">
                  <c:v>42932.916666666664</c:v>
                </c:pt>
                <c:pt idx="24">
                  <c:v>42932.958333333336</c:v>
                </c:pt>
                <c:pt idx="25">
                  <c:v>42933</c:v>
                </c:pt>
                <c:pt idx="26">
                  <c:v>42933.041666666664</c:v>
                </c:pt>
                <c:pt idx="27">
                  <c:v>42933.083333333336</c:v>
                </c:pt>
                <c:pt idx="28">
                  <c:v>42933.125</c:v>
                </c:pt>
                <c:pt idx="29">
                  <c:v>42933.166666666664</c:v>
                </c:pt>
                <c:pt idx="30">
                  <c:v>42933.208333333336</c:v>
                </c:pt>
                <c:pt idx="31">
                  <c:v>42933.25</c:v>
                </c:pt>
                <c:pt idx="32">
                  <c:v>42933.291666666664</c:v>
                </c:pt>
                <c:pt idx="33">
                  <c:v>42933.333333333336</c:v>
                </c:pt>
                <c:pt idx="34">
                  <c:v>42933.375</c:v>
                </c:pt>
                <c:pt idx="35">
                  <c:v>42933.416666666664</c:v>
                </c:pt>
                <c:pt idx="36">
                  <c:v>42933.458333333336</c:v>
                </c:pt>
                <c:pt idx="37">
                  <c:v>42933.5</c:v>
                </c:pt>
                <c:pt idx="38">
                  <c:v>42933.541666666664</c:v>
                </c:pt>
                <c:pt idx="39">
                  <c:v>42933.583333333336</c:v>
                </c:pt>
                <c:pt idx="40">
                  <c:v>42933.625</c:v>
                </c:pt>
                <c:pt idx="41">
                  <c:v>42933.666666666664</c:v>
                </c:pt>
              </c:numCache>
            </c:numRef>
          </c:cat>
          <c:val>
            <c:numRef>
              <c:f>'우량주상도(2017년)'!$B$4:$B$45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3.5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</c:v>
                </c:pt>
                <c:pt idx="30">
                  <c:v>0.5</c:v>
                </c:pt>
                <c:pt idx="31">
                  <c:v>9</c:v>
                </c:pt>
                <c:pt idx="32">
                  <c:v>28</c:v>
                </c:pt>
                <c:pt idx="33">
                  <c:v>31</c:v>
                </c:pt>
                <c:pt idx="34">
                  <c:v>31</c:v>
                </c:pt>
                <c:pt idx="35">
                  <c:v>19.5</c:v>
                </c:pt>
                <c:pt idx="36">
                  <c:v>0.5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8-412C-B8A8-463AD15B1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530176"/>
        <c:axId val="92532096"/>
      </c:bar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'우량주상도(2017년)'!$A$4:$A$45</c:f>
              <c:numCache>
                <c:formatCode>m/d/yyyy\ h:mm</c:formatCode>
                <c:ptCount val="42"/>
                <c:pt idx="0">
                  <c:v>42931.958333333336</c:v>
                </c:pt>
                <c:pt idx="1">
                  <c:v>42932</c:v>
                </c:pt>
                <c:pt idx="2">
                  <c:v>42932.041666666664</c:v>
                </c:pt>
                <c:pt idx="3">
                  <c:v>42932.083333333336</c:v>
                </c:pt>
                <c:pt idx="4">
                  <c:v>42932.125</c:v>
                </c:pt>
                <c:pt idx="5">
                  <c:v>42932.166666666664</c:v>
                </c:pt>
                <c:pt idx="6">
                  <c:v>42932.208333333336</c:v>
                </c:pt>
                <c:pt idx="7">
                  <c:v>42932.25</c:v>
                </c:pt>
                <c:pt idx="8">
                  <c:v>42932.291666666664</c:v>
                </c:pt>
                <c:pt idx="9">
                  <c:v>42932.333333333336</c:v>
                </c:pt>
                <c:pt idx="10">
                  <c:v>42932.375</c:v>
                </c:pt>
                <c:pt idx="11">
                  <c:v>42932.416666666664</c:v>
                </c:pt>
                <c:pt idx="12">
                  <c:v>42932.458333333336</c:v>
                </c:pt>
                <c:pt idx="13">
                  <c:v>42932.5</c:v>
                </c:pt>
                <c:pt idx="14">
                  <c:v>42932.541666666664</c:v>
                </c:pt>
                <c:pt idx="15">
                  <c:v>42932.583333333336</c:v>
                </c:pt>
                <c:pt idx="16">
                  <c:v>42932.625</c:v>
                </c:pt>
                <c:pt idx="17">
                  <c:v>42932.666666666664</c:v>
                </c:pt>
                <c:pt idx="18">
                  <c:v>42932.708333333336</c:v>
                </c:pt>
                <c:pt idx="19">
                  <c:v>42932.75</c:v>
                </c:pt>
                <c:pt idx="20">
                  <c:v>42932.791666666664</c:v>
                </c:pt>
                <c:pt idx="21">
                  <c:v>42932.833333333336</c:v>
                </c:pt>
                <c:pt idx="22">
                  <c:v>42932.875</c:v>
                </c:pt>
                <c:pt idx="23">
                  <c:v>42932.916666666664</c:v>
                </c:pt>
                <c:pt idx="24">
                  <c:v>42932.958333333336</c:v>
                </c:pt>
                <c:pt idx="25">
                  <c:v>42933</c:v>
                </c:pt>
                <c:pt idx="26">
                  <c:v>42933.041666666664</c:v>
                </c:pt>
                <c:pt idx="27">
                  <c:v>42933.083333333336</c:v>
                </c:pt>
                <c:pt idx="28">
                  <c:v>42933.125</c:v>
                </c:pt>
                <c:pt idx="29">
                  <c:v>42933.166666666664</c:v>
                </c:pt>
                <c:pt idx="30">
                  <c:v>42933.208333333336</c:v>
                </c:pt>
                <c:pt idx="31">
                  <c:v>42933.25</c:v>
                </c:pt>
                <c:pt idx="32">
                  <c:v>42933.291666666664</c:v>
                </c:pt>
                <c:pt idx="33">
                  <c:v>42933.333333333336</c:v>
                </c:pt>
                <c:pt idx="34">
                  <c:v>42933.375</c:v>
                </c:pt>
                <c:pt idx="35">
                  <c:v>42933.416666666664</c:v>
                </c:pt>
                <c:pt idx="36">
                  <c:v>42933.458333333336</c:v>
                </c:pt>
                <c:pt idx="37">
                  <c:v>42933.5</c:v>
                </c:pt>
                <c:pt idx="38">
                  <c:v>42933.541666666664</c:v>
                </c:pt>
                <c:pt idx="39">
                  <c:v>42933.583333333336</c:v>
                </c:pt>
                <c:pt idx="40">
                  <c:v>42933.625</c:v>
                </c:pt>
                <c:pt idx="41">
                  <c:v>42933.666666666664</c:v>
                </c:pt>
              </c:numCache>
            </c:numRef>
          </c:cat>
          <c:val>
            <c:numRef>
              <c:f>'우량주상도(2017년)'!$C$4:$C$45</c:f>
              <c:numCache>
                <c:formatCode>0.0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4</c:v>
                </c:pt>
                <c:pt idx="4">
                  <c:v>10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19.5</c:v>
                </c:pt>
                <c:pt idx="30">
                  <c:v>20</c:v>
                </c:pt>
                <c:pt idx="31">
                  <c:v>29</c:v>
                </c:pt>
                <c:pt idx="32">
                  <c:v>57</c:v>
                </c:pt>
                <c:pt idx="33">
                  <c:v>88</c:v>
                </c:pt>
                <c:pt idx="34">
                  <c:v>119</c:v>
                </c:pt>
                <c:pt idx="35">
                  <c:v>138.5</c:v>
                </c:pt>
                <c:pt idx="36">
                  <c:v>139</c:v>
                </c:pt>
                <c:pt idx="37">
                  <c:v>139</c:v>
                </c:pt>
                <c:pt idx="38">
                  <c:v>139</c:v>
                </c:pt>
                <c:pt idx="39">
                  <c:v>139</c:v>
                </c:pt>
                <c:pt idx="40">
                  <c:v>139</c:v>
                </c:pt>
                <c:pt idx="41">
                  <c:v>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D8-412C-B8A8-463AD15B1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3424"/>
        <c:axId val="92584960"/>
      </c:lineChart>
      <c:catAx>
        <c:axId val="9253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일시</a:t>
                </a:r>
              </a:p>
            </c:rich>
          </c:tx>
          <c:layout>
            <c:manualLayout>
              <c:xMode val="edge"/>
              <c:yMode val="edge"/>
              <c:x val="0.47468804177181512"/>
              <c:y val="0.8996846975403913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\ h: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2096"/>
        <c:crosses val="autoZero"/>
        <c:auto val="0"/>
        <c:lblAlgn val="ctr"/>
        <c:lblOffset val="100"/>
        <c:tickLblSkip val="6"/>
        <c:tickMarkSkip val="6"/>
        <c:noMultiLvlLbl val="0"/>
      </c:catAx>
      <c:valAx>
        <c:axId val="92532096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가는각진제목체" pitchFamily="18" charset="-127"/>
                    <a:ea typeface="가는각진제목체" pitchFamily="18" charset="-127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강우량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1.6295635959172989E-3"/>
              <c:y val="0.34793268987204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0176"/>
        <c:crosses val="autoZero"/>
        <c:crossBetween val="between"/>
      </c:valAx>
      <c:catAx>
        <c:axId val="9258342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one"/>
        <c:crossAx val="92584960"/>
        <c:crosses val="autoZero"/>
        <c:auto val="0"/>
        <c:lblAlgn val="ctr"/>
        <c:lblOffset val="100"/>
        <c:noMultiLvlLbl val="0"/>
      </c:catAx>
      <c:valAx>
        <c:axId val="92584960"/>
        <c:scaling>
          <c:orientation val="minMax"/>
          <c:max val="350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누가우량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95975289650634565"/>
              <c:y val="0.324401804774287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83424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>
      <c:oddHeader>&amp;A</c:oddHeader>
      <c:oddFooter>Page &amp;P</c:oddFooter>
    </c:headerFooter>
    <c:pageMargins b="1" l="0.75000000000000233" r="0.750000000000002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830673192878274E-2"/>
          <c:y val="3.8929532888374682E-2"/>
          <c:w val="0.79302617578208057"/>
          <c:h val="0.7769685358673231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'우량주상도(2020.07.13)'!$A$4:$A$60</c:f>
              <c:numCache>
                <c:formatCode>m/d/yyyy\ h:mm</c:formatCode>
                <c:ptCount val="57"/>
                <c:pt idx="0">
                  <c:v>44024.625</c:v>
                </c:pt>
                <c:pt idx="1">
                  <c:v>44024.666666666664</c:v>
                </c:pt>
                <c:pt idx="2">
                  <c:v>44024.708333333336</c:v>
                </c:pt>
                <c:pt idx="3">
                  <c:v>44024.75</c:v>
                </c:pt>
                <c:pt idx="4">
                  <c:v>44024.791666666664</c:v>
                </c:pt>
                <c:pt idx="5">
                  <c:v>44024.833333333336</c:v>
                </c:pt>
                <c:pt idx="6">
                  <c:v>44024.875</c:v>
                </c:pt>
                <c:pt idx="7">
                  <c:v>44024.916666666664</c:v>
                </c:pt>
                <c:pt idx="8">
                  <c:v>44024.958333333336</c:v>
                </c:pt>
                <c:pt idx="9">
                  <c:v>44025</c:v>
                </c:pt>
                <c:pt idx="10">
                  <c:v>44025.041666666664</c:v>
                </c:pt>
                <c:pt idx="11">
                  <c:v>44025.083333333336</c:v>
                </c:pt>
                <c:pt idx="12">
                  <c:v>44025.125</c:v>
                </c:pt>
                <c:pt idx="13">
                  <c:v>44025.166666666664</c:v>
                </c:pt>
                <c:pt idx="14">
                  <c:v>44025.208333333336</c:v>
                </c:pt>
                <c:pt idx="15">
                  <c:v>44025.25</c:v>
                </c:pt>
                <c:pt idx="16">
                  <c:v>44025.291666666664</c:v>
                </c:pt>
                <c:pt idx="17">
                  <c:v>44025.333333333336</c:v>
                </c:pt>
                <c:pt idx="18">
                  <c:v>44025.375</c:v>
                </c:pt>
                <c:pt idx="19">
                  <c:v>44025.416666666664</c:v>
                </c:pt>
                <c:pt idx="20">
                  <c:v>44025.458333333336</c:v>
                </c:pt>
                <c:pt idx="21">
                  <c:v>44025.5</c:v>
                </c:pt>
                <c:pt idx="22">
                  <c:v>44025.541666666664</c:v>
                </c:pt>
                <c:pt idx="23">
                  <c:v>44025.583333333336</c:v>
                </c:pt>
                <c:pt idx="24">
                  <c:v>44025.625</c:v>
                </c:pt>
                <c:pt idx="25">
                  <c:v>44025.666666666664</c:v>
                </c:pt>
                <c:pt idx="26">
                  <c:v>44025.708333333336</c:v>
                </c:pt>
                <c:pt idx="27">
                  <c:v>44025.75</c:v>
                </c:pt>
                <c:pt idx="28">
                  <c:v>44025.791666666664</c:v>
                </c:pt>
                <c:pt idx="29">
                  <c:v>44025.833333333336</c:v>
                </c:pt>
                <c:pt idx="30">
                  <c:v>44025.875</c:v>
                </c:pt>
                <c:pt idx="31">
                  <c:v>44025.916666666664</c:v>
                </c:pt>
                <c:pt idx="32">
                  <c:v>44025.958333333336</c:v>
                </c:pt>
                <c:pt idx="33">
                  <c:v>44026</c:v>
                </c:pt>
                <c:pt idx="34">
                  <c:v>44026.041666666664</c:v>
                </c:pt>
                <c:pt idx="35">
                  <c:v>44026.083333333336</c:v>
                </c:pt>
                <c:pt idx="36">
                  <c:v>44026.125</c:v>
                </c:pt>
                <c:pt idx="37">
                  <c:v>44026.166666666664</c:v>
                </c:pt>
                <c:pt idx="38">
                  <c:v>44026.208333333336</c:v>
                </c:pt>
                <c:pt idx="39">
                  <c:v>44026.25</c:v>
                </c:pt>
                <c:pt idx="40">
                  <c:v>44026.291666666664</c:v>
                </c:pt>
                <c:pt idx="41">
                  <c:v>44026.333333333336</c:v>
                </c:pt>
                <c:pt idx="42">
                  <c:v>44026.375</c:v>
                </c:pt>
                <c:pt idx="43">
                  <c:v>44026.416666666664</c:v>
                </c:pt>
                <c:pt idx="44">
                  <c:v>44026.458333333336</c:v>
                </c:pt>
                <c:pt idx="45">
                  <c:v>44026.5</c:v>
                </c:pt>
                <c:pt idx="46">
                  <c:v>44026.541666666664</c:v>
                </c:pt>
                <c:pt idx="47">
                  <c:v>44026.583333333336</c:v>
                </c:pt>
                <c:pt idx="48">
                  <c:v>44026.625</c:v>
                </c:pt>
                <c:pt idx="49">
                  <c:v>44026.666666666664</c:v>
                </c:pt>
                <c:pt idx="50">
                  <c:v>44026.708333333336</c:v>
                </c:pt>
                <c:pt idx="51">
                  <c:v>44026.75</c:v>
                </c:pt>
                <c:pt idx="52">
                  <c:v>44026.791666666664</c:v>
                </c:pt>
                <c:pt idx="53">
                  <c:v>44026.833333333336</c:v>
                </c:pt>
                <c:pt idx="54">
                  <c:v>44026.875</c:v>
                </c:pt>
                <c:pt idx="55">
                  <c:v>44026.916666666664</c:v>
                </c:pt>
                <c:pt idx="56">
                  <c:v>44026.958333333336</c:v>
                </c:pt>
              </c:numCache>
            </c:numRef>
          </c:cat>
          <c:val>
            <c:numRef>
              <c:f>'우량주상도(2020.07.13)'!$B$4:$B$60</c:f>
              <c:numCache>
                <c:formatCode>General</c:formatCode>
                <c:ptCount val="57"/>
                <c:pt idx="0">
                  <c:v>1</c:v>
                </c:pt>
                <c:pt idx="1">
                  <c:v>0.5</c:v>
                </c:pt>
                <c:pt idx="2">
                  <c:v>2</c:v>
                </c:pt>
                <c:pt idx="3">
                  <c:v>2</c:v>
                </c:pt>
                <c:pt idx="4">
                  <c:v>0.5</c:v>
                </c:pt>
                <c:pt idx="5">
                  <c:v>1.5</c:v>
                </c:pt>
                <c:pt idx="6">
                  <c:v>7.5</c:v>
                </c:pt>
                <c:pt idx="7">
                  <c:v>6.5</c:v>
                </c:pt>
                <c:pt idx="8">
                  <c:v>4</c:v>
                </c:pt>
                <c:pt idx="9">
                  <c:v>6.5</c:v>
                </c:pt>
                <c:pt idx="10">
                  <c:v>7.5</c:v>
                </c:pt>
                <c:pt idx="11">
                  <c:v>9.5</c:v>
                </c:pt>
                <c:pt idx="12">
                  <c:v>12.5</c:v>
                </c:pt>
                <c:pt idx="13">
                  <c:v>11.5</c:v>
                </c:pt>
                <c:pt idx="14">
                  <c:v>13.5</c:v>
                </c:pt>
                <c:pt idx="15">
                  <c:v>14</c:v>
                </c:pt>
                <c:pt idx="16">
                  <c:v>19.5</c:v>
                </c:pt>
                <c:pt idx="17">
                  <c:v>11</c:v>
                </c:pt>
                <c:pt idx="18">
                  <c:v>9.5</c:v>
                </c:pt>
                <c:pt idx="19">
                  <c:v>8.5</c:v>
                </c:pt>
                <c:pt idx="20">
                  <c:v>8.5</c:v>
                </c:pt>
                <c:pt idx="21">
                  <c:v>7</c:v>
                </c:pt>
                <c:pt idx="22">
                  <c:v>2</c:v>
                </c:pt>
                <c:pt idx="23">
                  <c:v>2.5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0.5</c:v>
                </c:pt>
                <c:pt idx="28">
                  <c:v>0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1.5</c:v>
                </c:pt>
                <c:pt idx="35">
                  <c:v>1.5</c:v>
                </c:pt>
                <c:pt idx="36">
                  <c:v>1</c:v>
                </c:pt>
                <c:pt idx="37">
                  <c:v>2</c:v>
                </c:pt>
                <c:pt idx="38">
                  <c:v>2.5</c:v>
                </c:pt>
                <c:pt idx="39">
                  <c:v>2</c:v>
                </c:pt>
                <c:pt idx="40">
                  <c:v>1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</c:v>
                </c:pt>
                <c:pt idx="48">
                  <c:v>0.5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3-47DD-8E61-B720B8F87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530176"/>
        <c:axId val="92532096"/>
      </c:bar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'우량주상도(2020.07.13)'!$A$4:$A$60</c:f>
              <c:numCache>
                <c:formatCode>m/d/yyyy\ h:mm</c:formatCode>
                <c:ptCount val="57"/>
                <c:pt idx="0">
                  <c:v>44024.625</c:v>
                </c:pt>
                <c:pt idx="1">
                  <c:v>44024.666666666664</c:v>
                </c:pt>
                <c:pt idx="2">
                  <c:v>44024.708333333336</c:v>
                </c:pt>
                <c:pt idx="3">
                  <c:v>44024.75</c:v>
                </c:pt>
                <c:pt idx="4">
                  <c:v>44024.791666666664</c:v>
                </c:pt>
                <c:pt idx="5">
                  <c:v>44024.833333333336</c:v>
                </c:pt>
                <c:pt idx="6">
                  <c:v>44024.875</c:v>
                </c:pt>
                <c:pt idx="7">
                  <c:v>44024.916666666664</c:v>
                </c:pt>
                <c:pt idx="8">
                  <c:v>44024.958333333336</c:v>
                </c:pt>
                <c:pt idx="9">
                  <c:v>44025</c:v>
                </c:pt>
                <c:pt idx="10">
                  <c:v>44025.041666666664</c:v>
                </c:pt>
                <c:pt idx="11">
                  <c:v>44025.083333333336</c:v>
                </c:pt>
                <c:pt idx="12">
                  <c:v>44025.125</c:v>
                </c:pt>
                <c:pt idx="13">
                  <c:v>44025.166666666664</c:v>
                </c:pt>
                <c:pt idx="14">
                  <c:v>44025.208333333336</c:v>
                </c:pt>
                <c:pt idx="15">
                  <c:v>44025.25</c:v>
                </c:pt>
                <c:pt idx="16">
                  <c:v>44025.291666666664</c:v>
                </c:pt>
                <c:pt idx="17">
                  <c:v>44025.333333333336</c:v>
                </c:pt>
                <c:pt idx="18">
                  <c:v>44025.375</c:v>
                </c:pt>
                <c:pt idx="19">
                  <c:v>44025.416666666664</c:v>
                </c:pt>
                <c:pt idx="20">
                  <c:v>44025.458333333336</c:v>
                </c:pt>
                <c:pt idx="21">
                  <c:v>44025.5</c:v>
                </c:pt>
                <c:pt idx="22">
                  <c:v>44025.541666666664</c:v>
                </c:pt>
                <c:pt idx="23">
                  <c:v>44025.583333333336</c:v>
                </c:pt>
                <c:pt idx="24">
                  <c:v>44025.625</c:v>
                </c:pt>
                <c:pt idx="25">
                  <c:v>44025.666666666664</c:v>
                </c:pt>
                <c:pt idx="26">
                  <c:v>44025.708333333336</c:v>
                </c:pt>
                <c:pt idx="27">
                  <c:v>44025.75</c:v>
                </c:pt>
                <c:pt idx="28">
                  <c:v>44025.791666666664</c:v>
                </c:pt>
                <c:pt idx="29">
                  <c:v>44025.833333333336</c:v>
                </c:pt>
                <c:pt idx="30">
                  <c:v>44025.875</c:v>
                </c:pt>
                <c:pt idx="31">
                  <c:v>44025.916666666664</c:v>
                </c:pt>
                <c:pt idx="32">
                  <c:v>44025.958333333336</c:v>
                </c:pt>
                <c:pt idx="33">
                  <c:v>44026</c:v>
                </c:pt>
                <c:pt idx="34">
                  <c:v>44026.041666666664</c:v>
                </c:pt>
                <c:pt idx="35">
                  <c:v>44026.083333333336</c:v>
                </c:pt>
                <c:pt idx="36">
                  <c:v>44026.125</c:v>
                </c:pt>
                <c:pt idx="37">
                  <c:v>44026.166666666664</c:v>
                </c:pt>
                <c:pt idx="38">
                  <c:v>44026.208333333336</c:v>
                </c:pt>
                <c:pt idx="39">
                  <c:v>44026.25</c:v>
                </c:pt>
                <c:pt idx="40">
                  <c:v>44026.291666666664</c:v>
                </c:pt>
                <c:pt idx="41">
                  <c:v>44026.333333333336</c:v>
                </c:pt>
                <c:pt idx="42">
                  <c:v>44026.375</c:v>
                </c:pt>
                <c:pt idx="43">
                  <c:v>44026.416666666664</c:v>
                </c:pt>
                <c:pt idx="44">
                  <c:v>44026.458333333336</c:v>
                </c:pt>
                <c:pt idx="45">
                  <c:v>44026.5</c:v>
                </c:pt>
                <c:pt idx="46">
                  <c:v>44026.541666666664</c:v>
                </c:pt>
                <c:pt idx="47">
                  <c:v>44026.583333333336</c:v>
                </c:pt>
                <c:pt idx="48">
                  <c:v>44026.625</c:v>
                </c:pt>
                <c:pt idx="49">
                  <c:v>44026.666666666664</c:v>
                </c:pt>
                <c:pt idx="50">
                  <c:v>44026.708333333336</c:v>
                </c:pt>
                <c:pt idx="51">
                  <c:v>44026.75</c:v>
                </c:pt>
                <c:pt idx="52">
                  <c:v>44026.791666666664</c:v>
                </c:pt>
                <c:pt idx="53">
                  <c:v>44026.833333333336</c:v>
                </c:pt>
                <c:pt idx="54">
                  <c:v>44026.875</c:v>
                </c:pt>
                <c:pt idx="55">
                  <c:v>44026.916666666664</c:v>
                </c:pt>
                <c:pt idx="56">
                  <c:v>44026.958333333336</c:v>
                </c:pt>
              </c:numCache>
            </c:numRef>
          </c:cat>
          <c:val>
            <c:numRef>
              <c:f>'우량주상도(2020.07.13)'!$C$4:$C$60</c:f>
              <c:numCache>
                <c:formatCode>0.0</c:formatCode>
                <c:ptCount val="57"/>
                <c:pt idx="0">
                  <c:v>1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6</c:v>
                </c:pt>
                <c:pt idx="5">
                  <c:v>7.5</c:v>
                </c:pt>
                <c:pt idx="6">
                  <c:v>15</c:v>
                </c:pt>
                <c:pt idx="7">
                  <c:v>21.5</c:v>
                </c:pt>
                <c:pt idx="8">
                  <c:v>25.5</c:v>
                </c:pt>
                <c:pt idx="9">
                  <c:v>32</c:v>
                </c:pt>
                <c:pt idx="10">
                  <c:v>39.5</c:v>
                </c:pt>
                <c:pt idx="11">
                  <c:v>49</c:v>
                </c:pt>
                <c:pt idx="12">
                  <c:v>61.5</c:v>
                </c:pt>
                <c:pt idx="13">
                  <c:v>73</c:v>
                </c:pt>
                <c:pt idx="14">
                  <c:v>86.5</c:v>
                </c:pt>
                <c:pt idx="15">
                  <c:v>100.5</c:v>
                </c:pt>
                <c:pt idx="16">
                  <c:v>120</c:v>
                </c:pt>
                <c:pt idx="17">
                  <c:v>131</c:v>
                </c:pt>
                <c:pt idx="18">
                  <c:v>140.5</c:v>
                </c:pt>
                <c:pt idx="19">
                  <c:v>149</c:v>
                </c:pt>
                <c:pt idx="20">
                  <c:v>157.5</c:v>
                </c:pt>
                <c:pt idx="21">
                  <c:v>164.5</c:v>
                </c:pt>
                <c:pt idx="22">
                  <c:v>166.5</c:v>
                </c:pt>
                <c:pt idx="23">
                  <c:v>169</c:v>
                </c:pt>
                <c:pt idx="24">
                  <c:v>170</c:v>
                </c:pt>
                <c:pt idx="25">
                  <c:v>170</c:v>
                </c:pt>
                <c:pt idx="26">
                  <c:v>170</c:v>
                </c:pt>
                <c:pt idx="27">
                  <c:v>170.5</c:v>
                </c:pt>
                <c:pt idx="28">
                  <c:v>170.5</c:v>
                </c:pt>
                <c:pt idx="29">
                  <c:v>170.5</c:v>
                </c:pt>
                <c:pt idx="30">
                  <c:v>171</c:v>
                </c:pt>
                <c:pt idx="31">
                  <c:v>171</c:v>
                </c:pt>
                <c:pt idx="32">
                  <c:v>171</c:v>
                </c:pt>
                <c:pt idx="33">
                  <c:v>172</c:v>
                </c:pt>
                <c:pt idx="34">
                  <c:v>173.5</c:v>
                </c:pt>
                <c:pt idx="35">
                  <c:v>175</c:v>
                </c:pt>
                <c:pt idx="36">
                  <c:v>176</c:v>
                </c:pt>
                <c:pt idx="37">
                  <c:v>178</c:v>
                </c:pt>
                <c:pt idx="38">
                  <c:v>180.5</c:v>
                </c:pt>
                <c:pt idx="39">
                  <c:v>182.5</c:v>
                </c:pt>
                <c:pt idx="40">
                  <c:v>183.5</c:v>
                </c:pt>
                <c:pt idx="41">
                  <c:v>183.5</c:v>
                </c:pt>
                <c:pt idx="42">
                  <c:v>184</c:v>
                </c:pt>
                <c:pt idx="43">
                  <c:v>184</c:v>
                </c:pt>
                <c:pt idx="44">
                  <c:v>184</c:v>
                </c:pt>
                <c:pt idx="45">
                  <c:v>184</c:v>
                </c:pt>
                <c:pt idx="46">
                  <c:v>184</c:v>
                </c:pt>
                <c:pt idx="47">
                  <c:v>184.5</c:v>
                </c:pt>
                <c:pt idx="48">
                  <c:v>185</c:v>
                </c:pt>
                <c:pt idx="49">
                  <c:v>185</c:v>
                </c:pt>
                <c:pt idx="50">
                  <c:v>185</c:v>
                </c:pt>
                <c:pt idx="51">
                  <c:v>185</c:v>
                </c:pt>
                <c:pt idx="52">
                  <c:v>185.5</c:v>
                </c:pt>
                <c:pt idx="53">
                  <c:v>185.5</c:v>
                </c:pt>
                <c:pt idx="54">
                  <c:v>185.5</c:v>
                </c:pt>
                <c:pt idx="55">
                  <c:v>185.5</c:v>
                </c:pt>
                <c:pt idx="56">
                  <c:v>185.5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A3-47DD-8E61-B720B8F87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3424"/>
        <c:axId val="92584960"/>
      </c:lineChart>
      <c:catAx>
        <c:axId val="9253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일시</a:t>
                </a:r>
              </a:p>
            </c:rich>
          </c:tx>
          <c:layout>
            <c:manualLayout>
              <c:xMode val="edge"/>
              <c:yMode val="edge"/>
              <c:x val="0.47468793268961001"/>
              <c:y val="0.8996878203599111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\ h: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2096"/>
        <c:crosses val="autoZero"/>
        <c:auto val="0"/>
        <c:lblAlgn val="ctr"/>
        <c:lblOffset val="100"/>
        <c:tickLblSkip val="10"/>
        <c:tickMarkSkip val="6"/>
        <c:noMultiLvlLbl val="0"/>
      </c:catAx>
      <c:valAx>
        <c:axId val="92532096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가는각진제목체" pitchFamily="18" charset="-127"/>
                    <a:ea typeface="가는각진제목체" pitchFamily="18" charset="-127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강우량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1.6295635959172989E-3"/>
              <c:y val="0.34793268987204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0176"/>
        <c:crosses val="autoZero"/>
        <c:crossBetween val="between"/>
      </c:valAx>
      <c:catAx>
        <c:axId val="9258342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one"/>
        <c:crossAx val="92584960"/>
        <c:crosses val="autoZero"/>
        <c:auto val="0"/>
        <c:lblAlgn val="ctr"/>
        <c:lblOffset val="100"/>
        <c:noMultiLvlLbl val="0"/>
      </c:catAx>
      <c:valAx>
        <c:axId val="92584960"/>
        <c:scaling>
          <c:orientation val="minMax"/>
          <c:max val="350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누가우량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95975289650634565"/>
              <c:y val="0.324401804774287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83424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>
      <c:oddHeader>&amp;A</c:oddHeader>
      <c:oddFooter>Page &amp;P</c:oddFooter>
    </c:headerFooter>
    <c:pageMargins b="1" l="0.75000000000000233" r="0.75000000000000233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830673192878274E-2"/>
          <c:y val="3.8929532888374682E-2"/>
          <c:w val="0.79302617578208057"/>
          <c:h val="0.7769685358673231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'우량주상도(2023.07.14'!$A$4:$A$64</c:f>
              <c:numCache>
                <c:formatCode>m/d/yyyy\ h:mm</c:formatCode>
                <c:ptCount val="61"/>
                <c:pt idx="0">
                  <c:v>45120.375</c:v>
                </c:pt>
                <c:pt idx="1">
                  <c:v>45120.416666666664</c:v>
                </c:pt>
                <c:pt idx="2">
                  <c:v>45120.458333333336</c:v>
                </c:pt>
                <c:pt idx="3">
                  <c:v>45120.5</c:v>
                </c:pt>
                <c:pt idx="4">
                  <c:v>45120.541666666664</c:v>
                </c:pt>
                <c:pt idx="5">
                  <c:v>45120.583333333336</c:v>
                </c:pt>
                <c:pt idx="6">
                  <c:v>45120.625</c:v>
                </c:pt>
                <c:pt idx="7">
                  <c:v>45120.666666666664</c:v>
                </c:pt>
                <c:pt idx="8">
                  <c:v>45120.708333333336</c:v>
                </c:pt>
                <c:pt idx="9">
                  <c:v>45120.75</c:v>
                </c:pt>
                <c:pt idx="10">
                  <c:v>45120.791666666664</c:v>
                </c:pt>
                <c:pt idx="11">
                  <c:v>45120.833333333336</c:v>
                </c:pt>
                <c:pt idx="12">
                  <c:v>45120.875</c:v>
                </c:pt>
                <c:pt idx="13">
                  <c:v>45120.916666666664</c:v>
                </c:pt>
                <c:pt idx="14">
                  <c:v>45120.958333333336</c:v>
                </c:pt>
                <c:pt idx="15">
                  <c:v>45121</c:v>
                </c:pt>
                <c:pt idx="16">
                  <c:v>45121.041666666664</c:v>
                </c:pt>
                <c:pt idx="17">
                  <c:v>45121.083333333336</c:v>
                </c:pt>
                <c:pt idx="18">
                  <c:v>45121.125</c:v>
                </c:pt>
                <c:pt idx="19">
                  <c:v>45121.166666666664</c:v>
                </c:pt>
                <c:pt idx="20">
                  <c:v>45121.208333333336</c:v>
                </c:pt>
                <c:pt idx="21">
                  <c:v>45121.25</c:v>
                </c:pt>
                <c:pt idx="22">
                  <c:v>45121.291666666664</c:v>
                </c:pt>
                <c:pt idx="23">
                  <c:v>45121.333333333336</c:v>
                </c:pt>
                <c:pt idx="24">
                  <c:v>45121.375</c:v>
                </c:pt>
                <c:pt idx="25">
                  <c:v>45121.416666666664</c:v>
                </c:pt>
                <c:pt idx="26">
                  <c:v>45121.458333333336</c:v>
                </c:pt>
                <c:pt idx="27">
                  <c:v>45121.5</c:v>
                </c:pt>
                <c:pt idx="28">
                  <c:v>45121.541666666664</c:v>
                </c:pt>
                <c:pt idx="29">
                  <c:v>45121.583333333336</c:v>
                </c:pt>
                <c:pt idx="30">
                  <c:v>45121.625</c:v>
                </c:pt>
                <c:pt idx="31">
                  <c:v>45121.666666666664</c:v>
                </c:pt>
                <c:pt idx="32">
                  <c:v>45121.708333333336</c:v>
                </c:pt>
                <c:pt idx="33">
                  <c:v>45121.75</c:v>
                </c:pt>
                <c:pt idx="34">
                  <c:v>45121.791666666664</c:v>
                </c:pt>
                <c:pt idx="35">
                  <c:v>45121.833333333336</c:v>
                </c:pt>
                <c:pt idx="36">
                  <c:v>45121.875</c:v>
                </c:pt>
                <c:pt idx="37">
                  <c:v>45121.916666666664</c:v>
                </c:pt>
                <c:pt idx="38">
                  <c:v>45121.958333333336</c:v>
                </c:pt>
                <c:pt idx="39">
                  <c:v>45122</c:v>
                </c:pt>
                <c:pt idx="40">
                  <c:v>45122.041666666664</c:v>
                </c:pt>
                <c:pt idx="41">
                  <c:v>45122.083333333336</c:v>
                </c:pt>
                <c:pt idx="42">
                  <c:v>45122.125</c:v>
                </c:pt>
                <c:pt idx="43">
                  <c:v>45122.166666666664</c:v>
                </c:pt>
                <c:pt idx="44">
                  <c:v>45122.208333333336</c:v>
                </c:pt>
                <c:pt idx="45">
                  <c:v>45122.25</c:v>
                </c:pt>
                <c:pt idx="46">
                  <c:v>45122.291666666664</c:v>
                </c:pt>
                <c:pt idx="47">
                  <c:v>45122.333333333336</c:v>
                </c:pt>
                <c:pt idx="48">
                  <c:v>45122.375</c:v>
                </c:pt>
                <c:pt idx="49">
                  <c:v>45122.416666666664</c:v>
                </c:pt>
                <c:pt idx="50">
                  <c:v>45122.458333333336</c:v>
                </c:pt>
                <c:pt idx="51">
                  <c:v>45122.5</c:v>
                </c:pt>
                <c:pt idx="52">
                  <c:v>45122.541666666664</c:v>
                </c:pt>
                <c:pt idx="53">
                  <c:v>45122.583333333336</c:v>
                </c:pt>
                <c:pt idx="54">
                  <c:v>45122.625</c:v>
                </c:pt>
                <c:pt idx="55">
                  <c:v>45122.666666666664</c:v>
                </c:pt>
                <c:pt idx="56">
                  <c:v>45122.708333333336</c:v>
                </c:pt>
                <c:pt idx="57">
                  <c:v>45122.75</c:v>
                </c:pt>
                <c:pt idx="58">
                  <c:v>45122.791666666664</c:v>
                </c:pt>
                <c:pt idx="59">
                  <c:v>45122.833333333336</c:v>
                </c:pt>
                <c:pt idx="60">
                  <c:v>45122.875</c:v>
                </c:pt>
              </c:numCache>
            </c:numRef>
          </c:cat>
          <c:val>
            <c:numRef>
              <c:f>'우량주상도(2023.07.14'!$B$4:$B$64</c:f>
              <c:numCache>
                <c:formatCode>General</c:formatCode>
                <c:ptCount val="61"/>
                <c:pt idx="0">
                  <c:v>0.5</c:v>
                </c:pt>
                <c:pt idx="1">
                  <c:v>0</c:v>
                </c:pt>
                <c:pt idx="2">
                  <c:v>9.5</c:v>
                </c:pt>
                <c:pt idx="3">
                  <c:v>8</c:v>
                </c:pt>
                <c:pt idx="4">
                  <c:v>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0.5</c:v>
                </c:pt>
                <c:pt idx="13">
                  <c:v>0</c:v>
                </c:pt>
                <c:pt idx="14">
                  <c:v>0.5</c:v>
                </c:pt>
                <c:pt idx="15">
                  <c:v>2</c:v>
                </c:pt>
                <c:pt idx="16">
                  <c:v>0.5</c:v>
                </c:pt>
                <c:pt idx="17">
                  <c:v>0.5</c:v>
                </c:pt>
                <c:pt idx="18">
                  <c:v>6</c:v>
                </c:pt>
                <c:pt idx="19">
                  <c:v>6</c:v>
                </c:pt>
                <c:pt idx="20">
                  <c:v>7.5</c:v>
                </c:pt>
                <c:pt idx="21">
                  <c:v>13</c:v>
                </c:pt>
                <c:pt idx="22">
                  <c:v>16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8</c:v>
                </c:pt>
                <c:pt idx="28">
                  <c:v>10</c:v>
                </c:pt>
                <c:pt idx="29">
                  <c:v>13.5</c:v>
                </c:pt>
                <c:pt idx="30">
                  <c:v>10.5</c:v>
                </c:pt>
                <c:pt idx="31">
                  <c:v>5</c:v>
                </c:pt>
                <c:pt idx="32">
                  <c:v>3</c:v>
                </c:pt>
                <c:pt idx="33">
                  <c:v>16</c:v>
                </c:pt>
                <c:pt idx="34">
                  <c:v>6.5</c:v>
                </c:pt>
                <c:pt idx="35">
                  <c:v>3</c:v>
                </c:pt>
                <c:pt idx="36">
                  <c:v>9</c:v>
                </c:pt>
                <c:pt idx="37">
                  <c:v>0</c:v>
                </c:pt>
                <c:pt idx="38">
                  <c:v>2.5</c:v>
                </c:pt>
                <c:pt idx="39">
                  <c:v>21.5</c:v>
                </c:pt>
                <c:pt idx="40">
                  <c:v>25.5</c:v>
                </c:pt>
                <c:pt idx="41">
                  <c:v>7</c:v>
                </c:pt>
                <c:pt idx="42">
                  <c:v>4.5</c:v>
                </c:pt>
                <c:pt idx="43">
                  <c:v>3</c:v>
                </c:pt>
                <c:pt idx="44">
                  <c:v>7.5</c:v>
                </c:pt>
                <c:pt idx="45">
                  <c:v>3.5</c:v>
                </c:pt>
                <c:pt idx="46">
                  <c:v>3</c:v>
                </c:pt>
                <c:pt idx="47">
                  <c:v>2.5</c:v>
                </c:pt>
                <c:pt idx="48">
                  <c:v>4</c:v>
                </c:pt>
                <c:pt idx="49">
                  <c:v>2.5</c:v>
                </c:pt>
                <c:pt idx="50">
                  <c:v>3.5</c:v>
                </c:pt>
                <c:pt idx="51">
                  <c:v>0</c:v>
                </c:pt>
                <c:pt idx="52">
                  <c:v>0.5</c:v>
                </c:pt>
                <c:pt idx="53">
                  <c:v>4</c:v>
                </c:pt>
                <c:pt idx="54">
                  <c:v>0.5</c:v>
                </c:pt>
                <c:pt idx="55">
                  <c:v>1</c:v>
                </c:pt>
                <c:pt idx="56">
                  <c:v>2.5</c:v>
                </c:pt>
                <c:pt idx="57">
                  <c:v>5.5</c:v>
                </c:pt>
                <c:pt idx="58">
                  <c:v>2</c:v>
                </c:pt>
                <c:pt idx="59">
                  <c:v>3</c:v>
                </c:pt>
                <c:pt idx="6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0-42C4-B4A6-172C2B88B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530176"/>
        <c:axId val="92532096"/>
      </c:barChart>
      <c:lineChart>
        <c:grouping val="standard"/>
        <c:varyColors val="0"/>
        <c:ser>
          <c:idx val="0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'우량주상도(2023.07.14'!$A$4:$A$64</c:f>
              <c:numCache>
                <c:formatCode>m/d/yyyy\ h:mm</c:formatCode>
                <c:ptCount val="61"/>
                <c:pt idx="0">
                  <c:v>45120.375</c:v>
                </c:pt>
                <c:pt idx="1">
                  <c:v>45120.416666666664</c:v>
                </c:pt>
                <c:pt idx="2">
                  <c:v>45120.458333333336</c:v>
                </c:pt>
                <c:pt idx="3">
                  <c:v>45120.5</c:v>
                </c:pt>
                <c:pt idx="4">
                  <c:v>45120.541666666664</c:v>
                </c:pt>
                <c:pt idx="5">
                  <c:v>45120.583333333336</c:v>
                </c:pt>
                <c:pt idx="6">
                  <c:v>45120.625</c:v>
                </c:pt>
                <c:pt idx="7">
                  <c:v>45120.666666666664</c:v>
                </c:pt>
                <c:pt idx="8">
                  <c:v>45120.708333333336</c:v>
                </c:pt>
                <c:pt idx="9">
                  <c:v>45120.75</c:v>
                </c:pt>
                <c:pt idx="10">
                  <c:v>45120.791666666664</c:v>
                </c:pt>
                <c:pt idx="11">
                  <c:v>45120.833333333336</c:v>
                </c:pt>
                <c:pt idx="12">
                  <c:v>45120.875</c:v>
                </c:pt>
                <c:pt idx="13">
                  <c:v>45120.916666666664</c:v>
                </c:pt>
                <c:pt idx="14">
                  <c:v>45120.958333333336</c:v>
                </c:pt>
                <c:pt idx="15">
                  <c:v>45121</c:v>
                </c:pt>
                <c:pt idx="16">
                  <c:v>45121.041666666664</c:v>
                </c:pt>
                <c:pt idx="17">
                  <c:v>45121.083333333336</c:v>
                </c:pt>
                <c:pt idx="18">
                  <c:v>45121.125</c:v>
                </c:pt>
                <c:pt idx="19">
                  <c:v>45121.166666666664</c:v>
                </c:pt>
                <c:pt idx="20">
                  <c:v>45121.208333333336</c:v>
                </c:pt>
                <c:pt idx="21">
                  <c:v>45121.25</c:v>
                </c:pt>
                <c:pt idx="22">
                  <c:v>45121.291666666664</c:v>
                </c:pt>
                <c:pt idx="23">
                  <c:v>45121.333333333336</c:v>
                </c:pt>
                <c:pt idx="24">
                  <c:v>45121.375</c:v>
                </c:pt>
                <c:pt idx="25">
                  <c:v>45121.416666666664</c:v>
                </c:pt>
                <c:pt idx="26">
                  <c:v>45121.458333333336</c:v>
                </c:pt>
                <c:pt idx="27">
                  <c:v>45121.5</c:v>
                </c:pt>
                <c:pt idx="28">
                  <c:v>45121.541666666664</c:v>
                </c:pt>
                <c:pt idx="29">
                  <c:v>45121.583333333336</c:v>
                </c:pt>
                <c:pt idx="30">
                  <c:v>45121.625</c:v>
                </c:pt>
                <c:pt idx="31">
                  <c:v>45121.666666666664</c:v>
                </c:pt>
                <c:pt idx="32">
                  <c:v>45121.708333333336</c:v>
                </c:pt>
                <c:pt idx="33">
                  <c:v>45121.75</c:v>
                </c:pt>
                <c:pt idx="34">
                  <c:v>45121.791666666664</c:v>
                </c:pt>
                <c:pt idx="35">
                  <c:v>45121.833333333336</c:v>
                </c:pt>
                <c:pt idx="36">
                  <c:v>45121.875</c:v>
                </c:pt>
                <c:pt idx="37">
                  <c:v>45121.916666666664</c:v>
                </c:pt>
                <c:pt idx="38">
                  <c:v>45121.958333333336</c:v>
                </c:pt>
                <c:pt idx="39">
                  <c:v>45122</c:v>
                </c:pt>
                <c:pt idx="40">
                  <c:v>45122.041666666664</c:v>
                </c:pt>
                <c:pt idx="41">
                  <c:v>45122.083333333336</c:v>
                </c:pt>
                <c:pt idx="42">
                  <c:v>45122.125</c:v>
                </c:pt>
                <c:pt idx="43">
                  <c:v>45122.166666666664</c:v>
                </c:pt>
                <c:pt idx="44">
                  <c:v>45122.208333333336</c:v>
                </c:pt>
                <c:pt idx="45">
                  <c:v>45122.25</c:v>
                </c:pt>
                <c:pt idx="46">
                  <c:v>45122.291666666664</c:v>
                </c:pt>
                <c:pt idx="47">
                  <c:v>45122.333333333336</c:v>
                </c:pt>
                <c:pt idx="48">
                  <c:v>45122.375</c:v>
                </c:pt>
                <c:pt idx="49">
                  <c:v>45122.416666666664</c:v>
                </c:pt>
                <c:pt idx="50">
                  <c:v>45122.458333333336</c:v>
                </c:pt>
                <c:pt idx="51">
                  <c:v>45122.5</c:v>
                </c:pt>
                <c:pt idx="52">
                  <c:v>45122.541666666664</c:v>
                </c:pt>
                <c:pt idx="53">
                  <c:v>45122.583333333336</c:v>
                </c:pt>
                <c:pt idx="54">
                  <c:v>45122.625</c:v>
                </c:pt>
                <c:pt idx="55">
                  <c:v>45122.666666666664</c:v>
                </c:pt>
                <c:pt idx="56">
                  <c:v>45122.708333333336</c:v>
                </c:pt>
                <c:pt idx="57">
                  <c:v>45122.75</c:v>
                </c:pt>
                <c:pt idx="58">
                  <c:v>45122.791666666664</c:v>
                </c:pt>
                <c:pt idx="59">
                  <c:v>45122.833333333336</c:v>
                </c:pt>
                <c:pt idx="60">
                  <c:v>45122.875</c:v>
                </c:pt>
              </c:numCache>
            </c:numRef>
          </c:cat>
          <c:val>
            <c:numRef>
              <c:f>'우량주상도(2023.07.14'!$C$4:$C$64</c:f>
              <c:numCache>
                <c:formatCode>0.0</c:formatCode>
                <c:ptCount val="61"/>
                <c:pt idx="0">
                  <c:v>0.5</c:v>
                </c:pt>
                <c:pt idx="1">
                  <c:v>0.5</c:v>
                </c:pt>
                <c:pt idx="2">
                  <c:v>10</c:v>
                </c:pt>
                <c:pt idx="3">
                  <c:v>18</c:v>
                </c:pt>
                <c:pt idx="4">
                  <c:v>19.5</c:v>
                </c:pt>
                <c:pt idx="5">
                  <c:v>19.5</c:v>
                </c:pt>
                <c:pt idx="6">
                  <c:v>19.5</c:v>
                </c:pt>
                <c:pt idx="7">
                  <c:v>19.5</c:v>
                </c:pt>
                <c:pt idx="8">
                  <c:v>19.5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22.5</c:v>
                </c:pt>
                <c:pt idx="13">
                  <c:v>22.5</c:v>
                </c:pt>
                <c:pt idx="14">
                  <c:v>23</c:v>
                </c:pt>
                <c:pt idx="15">
                  <c:v>25</c:v>
                </c:pt>
                <c:pt idx="16">
                  <c:v>25.5</c:v>
                </c:pt>
                <c:pt idx="17">
                  <c:v>26</c:v>
                </c:pt>
                <c:pt idx="18">
                  <c:v>32</c:v>
                </c:pt>
                <c:pt idx="19">
                  <c:v>38</c:v>
                </c:pt>
                <c:pt idx="20">
                  <c:v>45.5</c:v>
                </c:pt>
                <c:pt idx="21">
                  <c:v>58.5</c:v>
                </c:pt>
                <c:pt idx="22">
                  <c:v>74.5</c:v>
                </c:pt>
                <c:pt idx="23">
                  <c:v>75.5</c:v>
                </c:pt>
                <c:pt idx="24">
                  <c:v>79.5</c:v>
                </c:pt>
                <c:pt idx="25">
                  <c:v>82.5</c:v>
                </c:pt>
                <c:pt idx="26">
                  <c:v>86.5</c:v>
                </c:pt>
                <c:pt idx="27">
                  <c:v>94.5</c:v>
                </c:pt>
                <c:pt idx="28">
                  <c:v>104.5</c:v>
                </c:pt>
                <c:pt idx="29">
                  <c:v>118</c:v>
                </c:pt>
                <c:pt idx="30">
                  <c:v>128.5</c:v>
                </c:pt>
                <c:pt idx="31">
                  <c:v>133.5</c:v>
                </c:pt>
                <c:pt idx="32">
                  <c:v>136.5</c:v>
                </c:pt>
                <c:pt idx="33">
                  <c:v>152.5</c:v>
                </c:pt>
                <c:pt idx="34">
                  <c:v>159</c:v>
                </c:pt>
                <c:pt idx="35">
                  <c:v>162</c:v>
                </c:pt>
                <c:pt idx="36">
                  <c:v>171</c:v>
                </c:pt>
                <c:pt idx="37">
                  <c:v>171</c:v>
                </c:pt>
                <c:pt idx="38">
                  <c:v>173.5</c:v>
                </c:pt>
                <c:pt idx="39">
                  <c:v>195</c:v>
                </c:pt>
                <c:pt idx="40">
                  <c:v>220.5</c:v>
                </c:pt>
                <c:pt idx="41">
                  <c:v>227.5</c:v>
                </c:pt>
                <c:pt idx="42">
                  <c:v>232</c:v>
                </c:pt>
                <c:pt idx="43">
                  <c:v>235</c:v>
                </c:pt>
                <c:pt idx="44">
                  <c:v>242.5</c:v>
                </c:pt>
                <c:pt idx="45">
                  <c:v>246</c:v>
                </c:pt>
                <c:pt idx="46">
                  <c:v>249</c:v>
                </c:pt>
                <c:pt idx="47">
                  <c:v>251.5</c:v>
                </c:pt>
                <c:pt idx="48">
                  <c:v>255.5</c:v>
                </c:pt>
                <c:pt idx="49">
                  <c:v>258</c:v>
                </c:pt>
                <c:pt idx="50">
                  <c:v>261.5</c:v>
                </c:pt>
                <c:pt idx="51">
                  <c:v>261.5</c:v>
                </c:pt>
                <c:pt idx="52">
                  <c:v>262</c:v>
                </c:pt>
                <c:pt idx="53">
                  <c:v>266</c:v>
                </c:pt>
                <c:pt idx="54">
                  <c:v>266.5</c:v>
                </c:pt>
                <c:pt idx="55">
                  <c:v>267.5</c:v>
                </c:pt>
                <c:pt idx="56">
                  <c:v>270</c:v>
                </c:pt>
                <c:pt idx="57">
                  <c:v>275.5</c:v>
                </c:pt>
                <c:pt idx="58">
                  <c:v>277.5</c:v>
                </c:pt>
                <c:pt idx="59">
                  <c:v>280.5</c:v>
                </c:pt>
                <c:pt idx="60">
                  <c:v>281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10-42C4-B4A6-172C2B88B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83424"/>
        <c:axId val="92584960"/>
      </c:lineChart>
      <c:catAx>
        <c:axId val="9253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일시</a:t>
                </a:r>
              </a:p>
            </c:rich>
          </c:tx>
          <c:layout>
            <c:manualLayout>
              <c:xMode val="edge"/>
              <c:yMode val="edge"/>
              <c:x val="0.47468797878998814"/>
              <c:y val="0.90843198547459081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\ h: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2096"/>
        <c:crosses val="autoZero"/>
        <c:auto val="0"/>
        <c:lblAlgn val="ctr"/>
        <c:lblOffset val="100"/>
        <c:tickLblSkip val="10"/>
        <c:tickMarkSkip val="6"/>
        <c:noMultiLvlLbl val="0"/>
      </c:catAx>
      <c:valAx>
        <c:axId val="92532096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가는각진제목체" pitchFamily="18" charset="-127"/>
                    <a:ea typeface="가는각진제목체" pitchFamily="18" charset="-127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강우량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1.6295635959172989E-3"/>
              <c:y val="0.34793268987204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30176"/>
        <c:crosses val="autoZero"/>
        <c:crossBetween val="between"/>
      </c:valAx>
      <c:catAx>
        <c:axId val="9258342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one"/>
        <c:crossAx val="92584960"/>
        <c:crosses val="autoZero"/>
        <c:auto val="0"/>
        <c:lblAlgn val="ctr"/>
        <c:lblOffset val="100"/>
        <c:noMultiLvlLbl val="0"/>
      </c:catAx>
      <c:valAx>
        <c:axId val="92584960"/>
        <c:scaling>
          <c:orientation val="minMax"/>
          <c:max val="350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ko-KR" altLang="en-US" sz="1200" b="0">
                    <a:latin typeface="가는각진제목체" pitchFamily="18" charset="-127"/>
                    <a:ea typeface="가는각진제목체" pitchFamily="18" charset="-127"/>
                  </a:rPr>
                  <a:t>누가우량</a:t>
                </a:r>
                <a:r>
                  <a:rPr lang="en-US" altLang="ko-KR" sz="1200" b="0">
                    <a:latin typeface="가는각진제목체" pitchFamily="18" charset="-127"/>
                    <a:ea typeface="가는각진제목체" pitchFamily="18" charset="-127"/>
                  </a:rPr>
                  <a:t>(</a:t>
                </a:r>
                <a:r>
                  <a:rPr lang="en-US" altLang="en-US" sz="1200" b="0">
                    <a:latin typeface="가는각진제목체" pitchFamily="18" charset="-127"/>
                    <a:ea typeface="가는각진제목체" pitchFamily="18" charset="-127"/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95975289650634565"/>
              <c:y val="0.324401804774287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92583424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>
      <c:oddHeader>&amp;A</c:oddHeader>
      <c:oddFooter>Page &amp;P</c:oddFooter>
    </c:headerFooter>
    <c:pageMargins b="1" l="0.75000000000000233" r="0.750000000000002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419545</xdr:colOff>
      <xdr:row>4</xdr:row>
      <xdr:rowOff>48505</xdr:rowOff>
    </xdr:from>
    <xdr:to>
      <xdr:col>13</xdr:col>
      <xdr:colOff>165000</xdr:colOff>
      <xdr:row>17</xdr:row>
      <xdr:rowOff>53506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405B3-7B96-4080-AB51-401A379D9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240475</xdr:colOff>
      <xdr:row>3</xdr:row>
      <xdr:rowOff>19847</xdr:rowOff>
    </xdr:from>
    <xdr:to>
      <xdr:col>12</xdr:col>
      <xdr:colOff>664110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156883</xdr:rowOff>
    </xdr:from>
    <xdr:to>
      <xdr:col>13</xdr:col>
      <xdr:colOff>420028</xdr:colOff>
      <xdr:row>31</xdr:row>
      <xdr:rowOff>47132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501F194-F315-422E-AF23-4A5C09A0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8294" y="4347883"/>
          <a:ext cx="6572058" cy="3341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516369</xdr:colOff>
      <xdr:row>5</xdr:row>
      <xdr:rowOff>230723</xdr:rowOff>
    </xdr:from>
    <xdr:to>
      <xdr:col>13</xdr:col>
      <xdr:colOff>244679</xdr:colOff>
      <xdr:row>19</xdr:row>
      <xdr:rowOff>126144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367A4-FCEC-4E81-97C2-361964AC7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419545</xdr:colOff>
      <xdr:row>4</xdr:row>
      <xdr:rowOff>46600</xdr:rowOff>
    </xdr:from>
    <xdr:to>
      <xdr:col>13</xdr:col>
      <xdr:colOff>163095</xdr:colOff>
      <xdr:row>17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B0ED5-5862-4FA2-BE8B-88C72BE41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13</xdr:col>
      <xdr:colOff>438318</xdr:colOff>
      <xdr:row>35</xdr:row>
      <xdr:rowOff>93340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06A881-1C9D-403E-8304-D4EFA424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4324" y="5423647"/>
          <a:ext cx="6590347" cy="3298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8896-F021-44D4-84DE-8738710D0C10}">
  <sheetPr codeName="Sheet4"/>
  <dimension ref="A1:AB67"/>
  <sheetViews>
    <sheetView tabSelected="1" zoomScale="85" zoomScaleNormal="85" workbookViewId="0">
      <selection activeCell="U61" sqref="U61"/>
    </sheetView>
  </sheetViews>
  <sheetFormatPr defaultRowHeight="20.100000000000001" customHeight="1" x14ac:dyDescent="0.4"/>
  <cols>
    <col min="1" max="1" width="23.09765625" style="1" bestFit="1" customWidth="1"/>
    <col min="2" max="3" width="7.59765625" style="1" customWidth="1"/>
    <col min="4" max="14" width="9" style="1"/>
    <col min="15" max="17" width="8.796875" style="1"/>
    <col min="18" max="18" width="10.5" style="1" bestFit="1" customWidth="1"/>
    <col min="19" max="29" width="8.796875" style="1"/>
    <col min="30" max="256" width="9" style="1"/>
    <col min="257" max="257" width="12.09765625" style="1" customWidth="1"/>
    <col min="258" max="259" width="7.59765625" style="1" customWidth="1"/>
    <col min="260" max="512" width="9" style="1"/>
    <col min="513" max="513" width="12.09765625" style="1" customWidth="1"/>
    <col min="514" max="515" width="7.59765625" style="1" customWidth="1"/>
    <col min="516" max="768" width="9" style="1"/>
    <col min="769" max="769" width="12.09765625" style="1" customWidth="1"/>
    <col min="770" max="771" width="7.59765625" style="1" customWidth="1"/>
    <col min="772" max="1024" width="9" style="1"/>
    <col min="1025" max="1025" width="12.09765625" style="1" customWidth="1"/>
    <col min="1026" max="1027" width="7.59765625" style="1" customWidth="1"/>
    <col min="1028" max="1280" width="9" style="1"/>
    <col min="1281" max="1281" width="12.09765625" style="1" customWidth="1"/>
    <col min="1282" max="1283" width="7.59765625" style="1" customWidth="1"/>
    <col min="1284" max="1536" width="9" style="1"/>
    <col min="1537" max="1537" width="12.09765625" style="1" customWidth="1"/>
    <col min="1538" max="1539" width="7.59765625" style="1" customWidth="1"/>
    <col min="1540" max="1792" width="9" style="1"/>
    <col min="1793" max="1793" width="12.09765625" style="1" customWidth="1"/>
    <col min="1794" max="1795" width="7.59765625" style="1" customWidth="1"/>
    <col min="1796" max="2048" width="9" style="1"/>
    <col min="2049" max="2049" width="12.09765625" style="1" customWidth="1"/>
    <col min="2050" max="2051" width="7.59765625" style="1" customWidth="1"/>
    <col min="2052" max="2304" width="9" style="1"/>
    <col min="2305" max="2305" width="12.09765625" style="1" customWidth="1"/>
    <col min="2306" max="2307" width="7.59765625" style="1" customWidth="1"/>
    <col min="2308" max="2560" width="9" style="1"/>
    <col min="2561" max="2561" width="12.09765625" style="1" customWidth="1"/>
    <col min="2562" max="2563" width="7.59765625" style="1" customWidth="1"/>
    <col min="2564" max="2816" width="9" style="1"/>
    <col min="2817" max="2817" width="12.09765625" style="1" customWidth="1"/>
    <col min="2818" max="2819" width="7.59765625" style="1" customWidth="1"/>
    <col min="2820" max="3072" width="9" style="1"/>
    <col min="3073" max="3073" width="12.09765625" style="1" customWidth="1"/>
    <col min="3074" max="3075" width="7.59765625" style="1" customWidth="1"/>
    <col min="3076" max="3328" width="9" style="1"/>
    <col min="3329" max="3329" width="12.09765625" style="1" customWidth="1"/>
    <col min="3330" max="3331" width="7.59765625" style="1" customWidth="1"/>
    <col min="3332" max="3584" width="9" style="1"/>
    <col min="3585" max="3585" width="12.09765625" style="1" customWidth="1"/>
    <col min="3586" max="3587" width="7.59765625" style="1" customWidth="1"/>
    <col min="3588" max="3840" width="9" style="1"/>
    <col min="3841" max="3841" width="12.09765625" style="1" customWidth="1"/>
    <col min="3842" max="3843" width="7.59765625" style="1" customWidth="1"/>
    <col min="3844" max="4096" width="9" style="1"/>
    <col min="4097" max="4097" width="12.09765625" style="1" customWidth="1"/>
    <col min="4098" max="4099" width="7.59765625" style="1" customWidth="1"/>
    <col min="4100" max="4352" width="9" style="1"/>
    <col min="4353" max="4353" width="12.09765625" style="1" customWidth="1"/>
    <col min="4354" max="4355" width="7.59765625" style="1" customWidth="1"/>
    <col min="4356" max="4608" width="9" style="1"/>
    <col min="4609" max="4609" width="12.09765625" style="1" customWidth="1"/>
    <col min="4610" max="4611" width="7.59765625" style="1" customWidth="1"/>
    <col min="4612" max="4864" width="9" style="1"/>
    <col min="4865" max="4865" width="12.09765625" style="1" customWidth="1"/>
    <col min="4866" max="4867" width="7.59765625" style="1" customWidth="1"/>
    <col min="4868" max="5120" width="9" style="1"/>
    <col min="5121" max="5121" width="12.09765625" style="1" customWidth="1"/>
    <col min="5122" max="5123" width="7.59765625" style="1" customWidth="1"/>
    <col min="5124" max="5376" width="9" style="1"/>
    <col min="5377" max="5377" width="12.09765625" style="1" customWidth="1"/>
    <col min="5378" max="5379" width="7.59765625" style="1" customWidth="1"/>
    <col min="5380" max="5632" width="9" style="1"/>
    <col min="5633" max="5633" width="12.09765625" style="1" customWidth="1"/>
    <col min="5634" max="5635" width="7.59765625" style="1" customWidth="1"/>
    <col min="5636" max="5888" width="9" style="1"/>
    <col min="5889" max="5889" width="12.09765625" style="1" customWidth="1"/>
    <col min="5890" max="5891" width="7.59765625" style="1" customWidth="1"/>
    <col min="5892" max="6144" width="9" style="1"/>
    <col min="6145" max="6145" width="12.09765625" style="1" customWidth="1"/>
    <col min="6146" max="6147" width="7.59765625" style="1" customWidth="1"/>
    <col min="6148" max="6400" width="9" style="1"/>
    <col min="6401" max="6401" width="12.09765625" style="1" customWidth="1"/>
    <col min="6402" max="6403" width="7.59765625" style="1" customWidth="1"/>
    <col min="6404" max="6656" width="9" style="1"/>
    <col min="6657" max="6657" width="12.09765625" style="1" customWidth="1"/>
    <col min="6658" max="6659" width="7.59765625" style="1" customWidth="1"/>
    <col min="6660" max="6912" width="9" style="1"/>
    <col min="6913" max="6913" width="12.09765625" style="1" customWidth="1"/>
    <col min="6914" max="6915" width="7.59765625" style="1" customWidth="1"/>
    <col min="6916" max="7168" width="9" style="1"/>
    <col min="7169" max="7169" width="12.09765625" style="1" customWidth="1"/>
    <col min="7170" max="7171" width="7.59765625" style="1" customWidth="1"/>
    <col min="7172" max="7424" width="9" style="1"/>
    <col min="7425" max="7425" width="12.09765625" style="1" customWidth="1"/>
    <col min="7426" max="7427" width="7.59765625" style="1" customWidth="1"/>
    <col min="7428" max="7680" width="9" style="1"/>
    <col min="7681" max="7681" width="12.09765625" style="1" customWidth="1"/>
    <col min="7682" max="7683" width="7.59765625" style="1" customWidth="1"/>
    <col min="7684" max="7936" width="9" style="1"/>
    <col min="7937" max="7937" width="12.09765625" style="1" customWidth="1"/>
    <col min="7938" max="7939" width="7.59765625" style="1" customWidth="1"/>
    <col min="7940" max="8192" width="9" style="1"/>
    <col min="8193" max="8193" width="12.09765625" style="1" customWidth="1"/>
    <col min="8194" max="8195" width="7.59765625" style="1" customWidth="1"/>
    <col min="8196" max="8448" width="9" style="1"/>
    <col min="8449" max="8449" width="12.09765625" style="1" customWidth="1"/>
    <col min="8450" max="8451" width="7.59765625" style="1" customWidth="1"/>
    <col min="8452" max="8704" width="9" style="1"/>
    <col min="8705" max="8705" width="12.09765625" style="1" customWidth="1"/>
    <col min="8706" max="8707" width="7.59765625" style="1" customWidth="1"/>
    <col min="8708" max="8960" width="9" style="1"/>
    <col min="8961" max="8961" width="12.09765625" style="1" customWidth="1"/>
    <col min="8962" max="8963" width="7.59765625" style="1" customWidth="1"/>
    <col min="8964" max="9216" width="9" style="1"/>
    <col min="9217" max="9217" width="12.09765625" style="1" customWidth="1"/>
    <col min="9218" max="9219" width="7.59765625" style="1" customWidth="1"/>
    <col min="9220" max="9472" width="9" style="1"/>
    <col min="9473" max="9473" width="12.09765625" style="1" customWidth="1"/>
    <col min="9474" max="9475" width="7.59765625" style="1" customWidth="1"/>
    <col min="9476" max="9728" width="9" style="1"/>
    <col min="9729" max="9729" width="12.09765625" style="1" customWidth="1"/>
    <col min="9730" max="9731" width="7.59765625" style="1" customWidth="1"/>
    <col min="9732" max="9984" width="9" style="1"/>
    <col min="9985" max="9985" width="12.09765625" style="1" customWidth="1"/>
    <col min="9986" max="9987" width="7.59765625" style="1" customWidth="1"/>
    <col min="9988" max="10240" width="9" style="1"/>
    <col min="10241" max="10241" width="12.09765625" style="1" customWidth="1"/>
    <col min="10242" max="10243" width="7.59765625" style="1" customWidth="1"/>
    <col min="10244" max="10496" width="9" style="1"/>
    <col min="10497" max="10497" width="12.09765625" style="1" customWidth="1"/>
    <col min="10498" max="10499" width="7.59765625" style="1" customWidth="1"/>
    <col min="10500" max="10752" width="9" style="1"/>
    <col min="10753" max="10753" width="12.09765625" style="1" customWidth="1"/>
    <col min="10754" max="10755" width="7.59765625" style="1" customWidth="1"/>
    <col min="10756" max="11008" width="9" style="1"/>
    <col min="11009" max="11009" width="12.09765625" style="1" customWidth="1"/>
    <col min="11010" max="11011" width="7.59765625" style="1" customWidth="1"/>
    <col min="11012" max="11264" width="9" style="1"/>
    <col min="11265" max="11265" width="12.09765625" style="1" customWidth="1"/>
    <col min="11266" max="11267" width="7.59765625" style="1" customWidth="1"/>
    <col min="11268" max="11520" width="9" style="1"/>
    <col min="11521" max="11521" width="12.09765625" style="1" customWidth="1"/>
    <col min="11522" max="11523" width="7.59765625" style="1" customWidth="1"/>
    <col min="11524" max="11776" width="9" style="1"/>
    <col min="11777" max="11777" width="12.09765625" style="1" customWidth="1"/>
    <col min="11778" max="11779" width="7.59765625" style="1" customWidth="1"/>
    <col min="11780" max="12032" width="9" style="1"/>
    <col min="12033" max="12033" width="12.09765625" style="1" customWidth="1"/>
    <col min="12034" max="12035" width="7.59765625" style="1" customWidth="1"/>
    <col min="12036" max="12288" width="9" style="1"/>
    <col min="12289" max="12289" width="12.09765625" style="1" customWidth="1"/>
    <col min="12290" max="12291" width="7.59765625" style="1" customWidth="1"/>
    <col min="12292" max="12544" width="9" style="1"/>
    <col min="12545" max="12545" width="12.09765625" style="1" customWidth="1"/>
    <col min="12546" max="12547" width="7.59765625" style="1" customWidth="1"/>
    <col min="12548" max="12800" width="9" style="1"/>
    <col min="12801" max="12801" width="12.09765625" style="1" customWidth="1"/>
    <col min="12802" max="12803" width="7.59765625" style="1" customWidth="1"/>
    <col min="12804" max="13056" width="9" style="1"/>
    <col min="13057" max="13057" width="12.09765625" style="1" customWidth="1"/>
    <col min="13058" max="13059" width="7.59765625" style="1" customWidth="1"/>
    <col min="13060" max="13312" width="9" style="1"/>
    <col min="13313" max="13313" width="12.09765625" style="1" customWidth="1"/>
    <col min="13314" max="13315" width="7.59765625" style="1" customWidth="1"/>
    <col min="13316" max="13568" width="9" style="1"/>
    <col min="13569" max="13569" width="12.09765625" style="1" customWidth="1"/>
    <col min="13570" max="13571" width="7.59765625" style="1" customWidth="1"/>
    <col min="13572" max="13824" width="9" style="1"/>
    <col min="13825" max="13825" width="12.09765625" style="1" customWidth="1"/>
    <col min="13826" max="13827" width="7.59765625" style="1" customWidth="1"/>
    <col min="13828" max="14080" width="9" style="1"/>
    <col min="14081" max="14081" width="12.09765625" style="1" customWidth="1"/>
    <col min="14082" max="14083" width="7.59765625" style="1" customWidth="1"/>
    <col min="14084" max="14336" width="9" style="1"/>
    <col min="14337" max="14337" width="12.09765625" style="1" customWidth="1"/>
    <col min="14338" max="14339" width="7.59765625" style="1" customWidth="1"/>
    <col min="14340" max="14592" width="9" style="1"/>
    <col min="14593" max="14593" width="12.09765625" style="1" customWidth="1"/>
    <col min="14594" max="14595" width="7.59765625" style="1" customWidth="1"/>
    <col min="14596" max="14848" width="9" style="1"/>
    <col min="14849" max="14849" width="12.09765625" style="1" customWidth="1"/>
    <col min="14850" max="14851" width="7.59765625" style="1" customWidth="1"/>
    <col min="14852" max="15104" width="9" style="1"/>
    <col min="15105" max="15105" width="12.09765625" style="1" customWidth="1"/>
    <col min="15106" max="15107" width="7.59765625" style="1" customWidth="1"/>
    <col min="15108" max="15360" width="9" style="1"/>
    <col min="15361" max="15361" width="12.09765625" style="1" customWidth="1"/>
    <col min="15362" max="15363" width="7.59765625" style="1" customWidth="1"/>
    <col min="15364" max="15616" width="9" style="1"/>
    <col min="15617" max="15617" width="12.09765625" style="1" customWidth="1"/>
    <col min="15618" max="15619" width="7.59765625" style="1" customWidth="1"/>
    <col min="15620" max="15872" width="9" style="1"/>
    <col min="15873" max="15873" width="12.09765625" style="1" customWidth="1"/>
    <col min="15874" max="15875" width="7.59765625" style="1" customWidth="1"/>
    <col min="15876" max="16128" width="9" style="1"/>
    <col min="16129" max="16129" width="12.09765625" style="1" customWidth="1"/>
    <col min="16130" max="16131" width="7.59765625" style="1" customWidth="1"/>
    <col min="16132" max="16384" width="9" style="1"/>
  </cols>
  <sheetData>
    <row r="1" spans="1:28" ht="20.100000000000001" customHeight="1" x14ac:dyDescent="0.4">
      <c r="A1" s="1" t="s">
        <v>32</v>
      </c>
      <c r="P1" s="1" t="s">
        <v>24</v>
      </c>
      <c r="Q1" s="1">
        <f>MAX(Q4:AB9)</f>
        <v>37.5</v>
      </c>
      <c r="S1" s="1" t="s">
        <v>25</v>
      </c>
      <c r="T1" s="1">
        <f>MAX(U41:W41)</f>
        <v>62</v>
      </c>
      <c r="U1" s="1" t="s">
        <v>26</v>
      </c>
      <c r="V1" s="1">
        <f>SUM(Q4:AB9)</f>
        <v>132.5</v>
      </c>
    </row>
    <row r="2" spans="1:28" ht="20.100000000000001" customHeight="1" x14ac:dyDescent="0.4">
      <c r="A2" s="11" t="s">
        <v>0</v>
      </c>
      <c r="B2" s="13" t="s">
        <v>2</v>
      </c>
      <c r="C2" s="13"/>
      <c r="O2" s="1" t="s">
        <v>13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</row>
    <row r="3" spans="1:28" ht="20.100000000000001" customHeight="1" thickBot="1" x14ac:dyDescent="0.45">
      <c r="A3" s="12"/>
      <c r="B3" s="13" t="s">
        <v>14</v>
      </c>
      <c r="C3" s="13"/>
      <c r="O3" s="1" t="s">
        <v>14</v>
      </c>
      <c r="Q3" s="1">
        <v>13</v>
      </c>
      <c r="R3" s="1">
        <v>14</v>
      </c>
      <c r="S3" s="1">
        <v>15</v>
      </c>
      <c r="T3" s="1">
        <v>16</v>
      </c>
      <c r="U3" s="1">
        <v>17</v>
      </c>
      <c r="V3" s="1">
        <v>18</v>
      </c>
      <c r="W3" s="1">
        <v>19</v>
      </c>
      <c r="X3" s="1">
        <v>20</v>
      </c>
      <c r="Y3" s="1">
        <v>21</v>
      </c>
      <c r="Z3" s="1">
        <v>22</v>
      </c>
      <c r="AA3" s="1">
        <v>23</v>
      </c>
      <c r="AB3" s="1">
        <v>24</v>
      </c>
    </row>
    <row r="4" spans="1:28" ht="20.100000000000001" customHeight="1" thickTop="1" x14ac:dyDescent="0.4">
      <c r="A4" s="10">
        <v>40762.958333333336</v>
      </c>
      <c r="B4">
        <v>3</v>
      </c>
      <c r="C4" s="4">
        <f>B4</f>
        <v>3</v>
      </c>
      <c r="O4" s="1" t="s">
        <v>29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ht="20.100000000000001" customHeight="1" x14ac:dyDescent="0.4">
      <c r="A5" s="10">
        <v>40763</v>
      </c>
      <c r="B5">
        <v>7</v>
      </c>
      <c r="C5" s="5">
        <f>C4+B5</f>
        <v>10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7</v>
      </c>
    </row>
    <row r="6" spans="1:28" ht="20.100000000000001" customHeight="1" x14ac:dyDescent="0.4">
      <c r="A6" s="10">
        <v>40763.041666666664</v>
      </c>
      <c r="B6">
        <v>10</v>
      </c>
      <c r="C6" s="5">
        <f t="shared" ref="C6:C46" si="0">C5+B6</f>
        <v>20</v>
      </c>
      <c r="O6" s="1" t="s">
        <v>30</v>
      </c>
      <c r="Q6" s="1">
        <v>10</v>
      </c>
      <c r="R6" s="1">
        <v>9</v>
      </c>
      <c r="S6" s="1">
        <v>37.5</v>
      </c>
      <c r="T6" s="1">
        <v>4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ht="20.100000000000001" customHeight="1" x14ac:dyDescent="0.4">
      <c r="A7" s="10">
        <v>40763.083333333336</v>
      </c>
      <c r="B7">
        <v>9</v>
      </c>
      <c r="C7" s="5">
        <f t="shared" si="0"/>
        <v>29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ht="20.100000000000001" customHeight="1" x14ac:dyDescent="0.4">
      <c r="A8" s="10">
        <v>40763.125</v>
      </c>
      <c r="B8">
        <v>37.5</v>
      </c>
      <c r="C8" s="5">
        <f t="shared" si="0"/>
        <v>66.5</v>
      </c>
      <c r="O8" s="1" t="s">
        <v>31</v>
      </c>
      <c r="Q8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</v>
      </c>
      <c r="X8" s="1">
        <v>11.5</v>
      </c>
      <c r="Y8" s="1">
        <v>10.5</v>
      </c>
      <c r="Z8" s="1">
        <v>8</v>
      </c>
      <c r="AA8" s="1">
        <v>8.5</v>
      </c>
      <c r="AB8" s="1">
        <v>5</v>
      </c>
    </row>
    <row r="9" spans="1:28" ht="20.100000000000001" customHeight="1" x14ac:dyDescent="0.4">
      <c r="A9" s="10">
        <v>40763.166666666664</v>
      </c>
      <c r="B9">
        <v>4</v>
      </c>
      <c r="C9" s="5">
        <f t="shared" si="0"/>
        <v>70.5</v>
      </c>
      <c r="Q9" s="1">
        <v>4</v>
      </c>
      <c r="R9" s="1">
        <v>6</v>
      </c>
      <c r="S9" s="1">
        <v>5.5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>
        <v>0</v>
      </c>
      <c r="AB9">
        <v>0</v>
      </c>
    </row>
    <row r="10" spans="1:28" ht="20.100000000000001" customHeight="1" x14ac:dyDescent="0.4">
      <c r="A10" s="10">
        <v>40763.208333333336</v>
      </c>
      <c r="B10">
        <v>0</v>
      </c>
      <c r="C10" s="5">
        <f t="shared" si="0"/>
        <v>70.5</v>
      </c>
    </row>
    <row r="11" spans="1:28" ht="20.100000000000001" customHeight="1" x14ac:dyDescent="0.4">
      <c r="A11" s="10">
        <v>40763.25</v>
      </c>
      <c r="B11">
        <v>0</v>
      </c>
      <c r="C11" s="5">
        <f t="shared" si="0"/>
        <v>70.5</v>
      </c>
    </row>
    <row r="12" spans="1:28" ht="20.100000000000001" customHeight="1" x14ac:dyDescent="0.4">
      <c r="A12" s="10">
        <v>40763.291666666664</v>
      </c>
      <c r="B12">
        <v>0</v>
      </c>
      <c r="C12" s="5">
        <f t="shared" si="0"/>
        <v>70.5</v>
      </c>
    </row>
    <row r="13" spans="1:28" ht="20.100000000000001" customHeight="1" x14ac:dyDescent="0.4">
      <c r="A13" s="10">
        <v>40763.333333333336</v>
      </c>
      <c r="B13">
        <v>0</v>
      </c>
      <c r="C13" s="5">
        <f t="shared" si="0"/>
        <v>70.5</v>
      </c>
    </row>
    <row r="14" spans="1:28" ht="20.100000000000001" customHeight="1" x14ac:dyDescent="0.4">
      <c r="A14" s="10">
        <v>40763.375</v>
      </c>
      <c r="B14">
        <v>0</v>
      </c>
      <c r="C14" s="5">
        <f t="shared" si="0"/>
        <v>70.5</v>
      </c>
    </row>
    <row r="15" spans="1:28" ht="20.100000000000001" customHeight="1" x14ac:dyDescent="0.4">
      <c r="A15" s="10">
        <v>40763.416666666664</v>
      </c>
      <c r="B15">
        <v>0</v>
      </c>
      <c r="C15" s="5">
        <f t="shared" si="0"/>
        <v>70.5</v>
      </c>
    </row>
    <row r="16" spans="1:28" ht="20.100000000000001" customHeight="1" x14ac:dyDescent="0.4">
      <c r="A16" s="10">
        <v>40763.458333333336</v>
      </c>
      <c r="B16">
        <v>0</v>
      </c>
      <c r="C16" s="5">
        <f t="shared" si="0"/>
        <v>70.5</v>
      </c>
      <c r="U16" s="1" t="s">
        <v>29</v>
      </c>
      <c r="V16" s="1" t="s">
        <v>30</v>
      </c>
      <c r="W16" s="1" t="s">
        <v>31</v>
      </c>
    </row>
    <row r="17" spans="1:23" ht="20.100000000000001" customHeight="1" x14ac:dyDescent="0.4">
      <c r="A17" s="10">
        <v>40763.5</v>
      </c>
      <c r="B17">
        <v>0</v>
      </c>
      <c r="C17" s="5">
        <f t="shared" si="0"/>
        <v>70.5</v>
      </c>
      <c r="Q17"/>
      <c r="R17"/>
      <c r="S17"/>
      <c r="U17" s="1">
        <v>0</v>
      </c>
      <c r="V17" s="1">
        <v>10</v>
      </c>
      <c r="W17" s="1">
        <v>0</v>
      </c>
    </row>
    <row r="18" spans="1:23" ht="20.100000000000001" customHeight="1" x14ac:dyDescent="0.4">
      <c r="A18" s="10">
        <v>40763.541666666664</v>
      </c>
      <c r="B18">
        <v>0</v>
      </c>
      <c r="C18" s="5">
        <f t="shared" si="0"/>
        <v>70.5</v>
      </c>
      <c r="Q18"/>
      <c r="R18"/>
      <c r="S18"/>
      <c r="U18" s="1">
        <v>0</v>
      </c>
      <c r="V18" s="1">
        <v>9</v>
      </c>
      <c r="W18">
        <v>0</v>
      </c>
    </row>
    <row r="19" spans="1:23" ht="20.100000000000001" customHeight="1" x14ac:dyDescent="0.4">
      <c r="A19" s="10">
        <v>40763.583333333336</v>
      </c>
      <c r="B19">
        <v>0</v>
      </c>
      <c r="C19" s="5">
        <f t="shared" si="0"/>
        <v>70.5</v>
      </c>
      <c r="Q19"/>
      <c r="R19"/>
      <c r="S19"/>
      <c r="U19" s="1">
        <v>0</v>
      </c>
      <c r="V19" s="1">
        <v>37.5</v>
      </c>
      <c r="W19" s="1">
        <v>0</v>
      </c>
    </row>
    <row r="20" spans="1:23" ht="20.100000000000001" customHeight="1" x14ac:dyDescent="0.4">
      <c r="A20" s="10">
        <v>40763.625</v>
      </c>
      <c r="B20">
        <v>0</v>
      </c>
      <c r="C20" s="5">
        <f t="shared" si="0"/>
        <v>70.5</v>
      </c>
      <c r="Q20"/>
      <c r="R20"/>
      <c r="S20"/>
      <c r="U20" s="1">
        <v>0</v>
      </c>
      <c r="V20" s="1">
        <v>4</v>
      </c>
      <c r="W20" s="1">
        <v>0</v>
      </c>
    </row>
    <row r="21" spans="1:23" ht="20.100000000000001" customHeight="1" x14ac:dyDescent="0.4">
      <c r="A21" s="10">
        <v>40763.666666666664</v>
      </c>
      <c r="B21">
        <v>0</v>
      </c>
      <c r="C21" s="5">
        <f t="shared" si="0"/>
        <v>70.5</v>
      </c>
      <c r="Q21"/>
      <c r="R21"/>
      <c r="S21"/>
      <c r="U21" s="1">
        <v>0</v>
      </c>
      <c r="V21" s="1">
        <v>0</v>
      </c>
      <c r="W21" s="1">
        <v>0</v>
      </c>
    </row>
    <row r="22" spans="1:23" ht="20.100000000000001" customHeight="1" x14ac:dyDescent="0.4">
      <c r="A22" s="10">
        <v>40763.708333333336</v>
      </c>
      <c r="B22">
        <v>0</v>
      </c>
      <c r="C22" s="5">
        <f t="shared" si="0"/>
        <v>70.5</v>
      </c>
      <c r="Q22"/>
      <c r="R22"/>
      <c r="S22"/>
      <c r="U22" s="1">
        <v>0</v>
      </c>
      <c r="V22" s="1">
        <v>0</v>
      </c>
      <c r="W22" s="1">
        <v>0</v>
      </c>
    </row>
    <row r="23" spans="1:23" ht="20.100000000000001" customHeight="1" x14ac:dyDescent="0.4">
      <c r="A23" s="10">
        <v>40763.75</v>
      </c>
      <c r="B23">
        <v>0</v>
      </c>
      <c r="C23" s="5">
        <f>C22+B23</f>
        <v>70.5</v>
      </c>
      <c r="Q23"/>
      <c r="R23"/>
      <c r="S23"/>
      <c r="U23" s="1">
        <v>0</v>
      </c>
      <c r="V23" s="1">
        <v>0</v>
      </c>
      <c r="W23" s="1">
        <v>0</v>
      </c>
    </row>
    <row r="24" spans="1:23" ht="20.100000000000001" customHeight="1" x14ac:dyDescent="0.4">
      <c r="A24" s="10">
        <v>40763.791666666664</v>
      </c>
      <c r="B24">
        <v>0</v>
      </c>
      <c r="C24" s="5">
        <f t="shared" si="0"/>
        <v>70.5</v>
      </c>
      <c r="Q24"/>
      <c r="R24"/>
      <c r="S24"/>
      <c r="U24" s="1">
        <v>0</v>
      </c>
      <c r="V24" s="1">
        <v>0</v>
      </c>
      <c r="W24" s="1">
        <v>2</v>
      </c>
    </row>
    <row r="25" spans="1:23" ht="20.100000000000001" customHeight="1" x14ac:dyDescent="0.4">
      <c r="A25" s="10">
        <v>40763.833333333336</v>
      </c>
      <c r="B25">
        <v>0</v>
      </c>
      <c r="C25" s="5">
        <f t="shared" si="0"/>
        <v>70.5</v>
      </c>
      <c r="Q25"/>
      <c r="R25"/>
      <c r="S25"/>
      <c r="U25" s="1">
        <v>0</v>
      </c>
      <c r="V25" s="1">
        <v>0</v>
      </c>
      <c r="W25" s="1">
        <v>11.5</v>
      </c>
    </row>
    <row r="26" spans="1:23" ht="20.100000000000001" customHeight="1" x14ac:dyDescent="0.4">
      <c r="A26" s="10">
        <v>40763.875</v>
      </c>
      <c r="B26">
        <v>0</v>
      </c>
      <c r="C26" s="5">
        <f t="shared" si="0"/>
        <v>70.5</v>
      </c>
      <c r="Q26"/>
      <c r="R26"/>
      <c r="S26"/>
      <c r="U26" s="1">
        <v>0</v>
      </c>
      <c r="V26" s="1">
        <v>0</v>
      </c>
      <c r="W26" s="1">
        <v>10.5</v>
      </c>
    </row>
    <row r="27" spans="1:23" ht="20.100000000000001" customHeight="1" x14ac:dyDescent="0.4">
      <c r="A27" s="10">
        <v>40763.916666666664</v>
      </c>
      <c r="B27">
        <v>0</v>
      </c>
      <c r="C27" s="5">
        <f t="shared" si="0"/>
        <v>70.5</v>
      </c>
      <c r="Q27"/>
      <c r="R27"/>
      <c r="S27"/>
      <c r="U27" s="1">
        <v>0</v>
      </c>
      <c r="V27" s="1">
        <v>0</v>
      </c>
      <c r="W27" s="1">
        <v>8</v>
      </c>
    </row>
    <row r="28" spans="1:23" ht="20.100000000000001" customHeight="1" x14ac:dyDescent="0.4">
      <c r="A28" s="10">
        <v>40763.958333333336</v>
      </c>
      <c r="B28">
        <v>0</v>
      </c>
      <c r="C28" s="5">
        <f t="shared" si="0"/>
        <v>70.5</v>
      </c>
      <c r="Q28"/>
      <c r="R28"/>
      <c r="S28"/>
      <c r="U28" s="1">
        <v>0</v>
      </c>
      <c r="V28" s="1">
        <v>0</v>
      </c>
      <c r="W28" s="1">
        <v>8.5</v>
      </c>
    </row>
    <row r="29" spans="1:23" ht="20.100000000000001" customHeight="1" x14ac:dyDescent="0.4">
      <c r="A29" s="10">
        <v>40764</v>
      </c>
      <c r="B29">
        <v>0</v>
      </c>
      <c r="C29" s="5">
        <f t="shared" si="0"/>
        <v>70.5</v>
      </c>
      <c r="Q29"/>
      <c r="R29"/>
      <c r="S29"/>
      <c r="U29" s="1">
        <v>0</v>
      </c>
      <c r="V29" s="1">
        <v>0</v>
      </c>
      <c r="W29" s="1">
        <v>5</v>
      </c>
    </row>
    <row r="30" spans="1:23" ht="20.100000000000001" customHeight="1" x14ac:dyDescent="0.4">
      <c r="A30" s="10">
        <v>40764.041666666664</v>
      </c>
      <c r="B30">
        <v>0</v>
      </c>
      <c r="C30" s="5">
        <f t="shared" si="0"/>
        <v>70.5</v>
      </c>
      <c r="Q30"/>
      <c r="R30"/>
      <c r="S30"/>
      <c r="U30" s="1">
        <v>0</v>
      </c>
      <c r="V30" s="1">
        <v>0</v>
      </c>
      <c r="W30" s="1">
        <v>4</v>
      </c>
    </row>
    <row r="31" spans="1:23" ht="20.100000000000001" customHeight="1" x14ac:dyDescent="0.4">
      <c r="A31" s="10">
        <v>40764.083333333336</v>
      </c>
      <c r="B31">
        <v>0</v>
      </c>
      <c r="C31" s="5">
        <f t="shared" si="0"/>
        <v>70.5</v>
      </c>
      <c r="Q31"/>
      <c r="R31"/>
      <c r="S31"/>
      <c r="U31" s="1">
        <v>0</v>
      </c>
      <c r="V31" s="1">
        <v>0</v>
      </c>
      <c r="W31" s="1">
        <v>6</v>
      </c>
    </row>
    <row r="32" spans="1:23" ht="20.100000000000001" customHeight="1" x14ac:dyDescent="0.4">
      <c r="A32" s="10">
        <v>40764.125</v>
      </c>
      <c r="B32">
        <v>0</v>
      </c>
      <c r="C32" s="5">
        <f t="shared" si="0"/>
        <v>70.5</v>
      </c>
      <c r="Q32"/>
      <c r="R32"/>
      <c r="S32"/>
      <c r="U32" s="1">
        <v>0</v>
      </c>
      <c r="V32" s="1">
        <v>0</v>
      </c>
      <c r="W32" s="1">
        <v>5.5</v>
      </c>
    </row>
    <row r="33" spans="1:23" ht="20.100000000000001" customHeight="1" x14ac:dyDescent="0.4">
      <c r="A33" s="10">
        <v>40764.166666666664</v>
      </c>
      <c r="B33">
        <v>0</v>
      </c>
      <c r="C33" s="5">
        <f t="shared" si="0"/>
        <v>70.5</v>
      </c>
      <c r="Q33"/>
      <c r="R33"/>
      <c r="S33"/>
      <c r="U33" s="1">
        <v>0</v>
      </c>
      <c r="V33" s="1">
        <v>0</v>
      </c>
      <c r="W33" s="1">
        <v>1</v>
      </c>
    </row>
    <row r="34" spans="1:23" ht="20.100000000000001" customHeight="1" x14ac:dyDescent="0.4">
      <c r="A34" s="10">
        <v>40764.208333333336</v>
      </c>
      <c r="B34">
        <v>0</v>
      </c>
      <c r="C34" s="5">
        <f t="shared" si="0"/>
        <v>70.5</v>
      </c>
      <c r="Q34"/>
      <c r="R34"/>
      <c r="S34"/>
      <c r="U34" s="1">
        <v>0</v>
      </c>
      <c r="V34" s="1">
        <v>0</v>
      </c>
      <c r="W34" s="1">
        <v>0</v>
      </c>
    </row>
    <row r="35" spans="1:23" ht="20.100000000000001" customHeight="1" x14ac:dyDescent="0.4">
      <c r="A35" s="10">
        <v>40764.25</v>
      </c>
      <c r="B35">
        <v>0</v>
      </c>
      <c r="C35" s="5">
        <f t="shared" si="0"/>
        <v>70.5</v>
      </c>
      <c r="Q35"/>
      <c r="R35"/>
      <c r="S35"/>
      <c r="U35" s="1">
        <v>0</v>
      </c>
      <c r="V35" s="1">
        <v>0</v>
      </c>
      <c r="W35" s="1">
        <v>0</v>
      </c>
    </row>
    <row r="36" spans="1:23" ht="20.100000000000001" customHeight="1" x14ac:dyDescent="0.4">
      <c r="A36" s="10">
        <v>40764.291666666664</v>
      </c>
      <c r="B36">
        <v>0</v>
      </c>
      <c r="C36" s="5">
        <f t="shared" si="0"/>
        <v>70.5</v>
      </c>
      <c r="Q36"/>
      <c r="R36"/>
      <c r="S36"/>
      <c r="U36" s="1">
        <v>0</v>
      </c>
      <c r="V36" s="1">
        <v>0</v>
      </c>
      <c r="W36" s="1">
        <v>0</v>
      </c>
    </row>
    <row r="37" spans="1:23" ht="20.100000000000001" customHeight="1" x14ac:dyDescent="0.4">
      <c r="A37" s="10">
        <v>40764.333333333336</v>
      </c>
      <c r="B37">
        <v>2</v>
      </c>
      <c r="C37" s="5">
        <f t="shared" si="0"/>
        <v>72.5</v>
      </c>
      <c r="Q37"/>
      <c r="R37"/>
      <c r="S37"/>
      <c r="U37" s="1">
        <v>0</v>
      </c>
      <c r="V37" s="1">
        <v>0</v>
      </c>
      <c r="W37" s="1">
        <v>0</v>
      </c>
    </row>
    <row r="38" spans="1:23" ht="20.100000000000001" customHeight="1" x14ac:dyDescent="0.4">
      <c r="A38" s="10">
        <v>40764.375</v>
      </c>
      <c r="B38">
        <v>11.5</v>
      </c>
      <c r="C38" s="5">
        <f t="shared" si="0"/>
        <v>84</v>
      </c>
      <c r="Q38"/>
      <c r="R38"/>
      <c r="S38"/>
      <c r="U38" s="1">
        <v>0</v>
      </c>
      <c r="V38" s="1">
        <v>0</v>
      </c>
      <c r="W38" s="1">
        <v>0</v>
      </c>
    </row>
    <row r="39" spans="1:23" ht="20.100000000000001" customHeight="1" x14ac:dyDescent="0.4">
      <c r="A39" s="10">
        <v>40764.416666666664</v>
      </c>
      <c r="B39">
        <v>10.5</v>
      </c>
      <c r="C39" s="5">
        <f t="shared" si="0"/>
        <v>94.5</v>
      </c>
      <c r="Q39"/>
      <c r="R39"/>
      <c r="S39"/>
      <c r="U39" s="1">
        <v>3</v>
      </c>
      <c r="V39" s="1">
        <v>0</v>
      </c>
      <c r="W39" s="1">
        <v>0</v>
      </c>
    </row>
    <row r="40" spans="1:23" ht="20.100000000000001" customHeight="1" x14ac:dyDescent="0.4">
      <c r="A40" s="10">
        <v>40764.458333333336</v>
      </c>
      <c r="B40">
        <v>8</v>
      </c>
      <c r="C40" s="5">
        <f t="shared" si="0"/>
        <v>102.5</v>
      </c>
      <c r="Q40"/>
      <c r="R40"/>
      <c r="S40"/>
      <c r="U40" s="1">
        <v>7</v>
      </c>
      <c r="V40" s="1">
        <v>0</v>
      </c>
      <c r="W40" s="1">
        <v>0</v>
      </c>
    </row>
    <row r="41" spans="1:23" ht="20.100000000000001" customHeight="1" x14ac:dyDescent="0.4">
      <c r="A41" s="10">
        <v>40764.5</v>
      </c>
      <c r="B41">
        <v>8.5</v>
      </c>
      <c r="C41" s="5">
        <f t="shared" si="0"/>
        <v>111</v>
      </c>
      <c r="Q41"/>
      <c r="R41"/>
      <c r="S41"/>
      <c r="U41">
        <f>SUM(U17:U40)</f>
        <v>10</v>
      </c>
      <c r="V41">
        <f>SUM(V17:V40)</f>
        <v>60.5</v>
      </c>
      <c r="W41">
        <f>SUM(W17:W40)</f>
        <v>62</v>
      </c>
    </row>
    <row r="42" spans="1:23" ht="20.100000000000001" customHeight="1" x14ac:dyDescent="0.4">
      <c r="A42" s="10">
        <v>40764.541666666664</v>
      </c>
      <c r="B42">
        <v>5</v>
      </c>
      <c r="C42" s="5">
        <f t="shared" si="0"/>
        <v>116</v>
      </c>
    </row>
    <row r="43" spans="1:23" ht="20.100000000000001" customHeight="1" x14ac:dyDescent="0.4">
      <c r="A43" s="10">
        <v>40764.583333333336</v>
      </c>
      <c r="B43">
        <v>4</v>
      </c>
      <c r="C43" s="5">
        <f t="shared" si="0"/>
        <v>120</v>
      </c>
    </row>
    <row r="44" spans="1:23" ht="20.100000000000001" customHeight="1" x14ac:dyDescent="0.4">
      <c r="A44" s="10">
        <v>40764.625</v>
      </c>
      <c r="B44">
        <v>6</v>
      </c>
      <c r="C44" s="5">
        <f t="shared" si="0"/>
        <v>126</v>
      </c>
    </row>
    <row r="45" spans="1:23" ht="20.100000000000001" customHeight="1" x14ac:dyDescent="0.4">
      <c r="A45" s="10">
        <v>40764.666666666664</v>
      </c>
      <c r="B45">
        <v>5.5</v>
      </c>
      <c r="C45" s="5">
        <f t="shared" si="0"/>
        <v>131.5</v>
      </c>
    </row>
    <row r="46" spans="1:23" ht="20.100000000000001" customHeight="1" x14ac:dyDescent="0.4">
      <c r="A46" s="10">
        <v>40764.708333333336</v>
      </c>
      <c r="B46">
        <v>1</v>
      </c>
      <c r="C46" s="5">
        <f t="shared" si="0"/>
        <v>132.5</v>
      </c>
    </row>
    <row r="47" spans="1:23" ht="20.100000000000001" customHeight="1" x14ac:dyDescent="0.4">
      <c r="A47" s="10"/>
      <c r="B47">
        <f>SUM(B4:B46)</f>
        <v>132.5</v>
      </c>
      <c r="C47" s="5">
        <f>C46</f>
        <v>132.5</v>
      </c>
    </row>
    <row r="48" spans="1:23" ht="20.100000000000001" customHeight="1" x14ac:dyDescent="0.4">
      <c r="A48" s="10"/>
      <c r="B48"/>
      <c r="C48" s="5"/>
    </row>
    <row r="49" spans="1:3" ht="20.100000000000001" customHeight="1" x14ac:dyDescent="0.4">
      <c r="A49" s="10"/>
      <c r="B49"/>
      <c r="C49" s="5"/>
    </row>
    <row r="50" spans="1:3" ht="20.100000000000001" customHeight="1" x14ac:dyDescent="0.4">
      <c r="A50" s="10"/>
      <c r="B50"/>
      <c r="C50" s="5"/>
    </row>
    <row r="51" spans="1:3" ht="20.100000000000001" customHeight="1" x14ac:dyDescent="0.4">
      <c r="A51" s="10"/>
      <c r="B51"/>
      <c r="C51" s="5"/>
    </row>
    <row r="52" spans="1:3" ht="20.100000000000001" customHeight="1" x14ac:dyDescent="0.4">
      <c r="A52" s="10"/>
      <c r="B52"/>
      <c r="C52" s="5"/>
    </row>
    <row r="53" spans="1:3" ht="20.100000000000001" customHeight="1" x14ac:dyDescent="0.4">
      <c r="A53" s="10"/>
      <c r="B53"/>
      <c r="C53" s="5"/>
    </row>
    <row r="54" spans="1:3" ht="20.100000000000001" customHeight="1" x14ac:dyDescent="0.4">
      <c r="A54" s="10"/>
      <c r="B54"/>
      <c r="C54" s="5"/>
    </row>
    <row r="55" spans="1:3" ht="20.100000000000001" customHeight="1" x14ac:dyDescent="0.4">
      <c r="A55" s="10"/>
      <c r="B55"/>
      <c r="C55" s="5"/>
    </row>
    <row r="56" spans="1:3" ht="20.100000000000001" customHeight="1" x14ac:dyDescent="0.4">
      <c r="A56" s="10"/>
      <c r="B56"/>
      <c r="C56" s="5"/>
    </row>
    <row r="57" spans="1:3" ht="20.100000000000001" customHeight="1" x14ac:dyDescent="0.4">
      <c r="A57" s="10"/>
      <c r="B57"/>
      <c r="C57" s="5"/>
    </row>
    <row r="58" spans="1:3" ht="20.100000000000001" customHeight="1" x14ac:dyDescent="0.4">
      <c r="A58" s="10"/>
      <c r="B58"/>
      <c r="C58" s="5"/>
    </row>
    <row r="59" spans="1:3" ht="20.100000000000001" customHeight="1" x14ac:dyDescent="0.4">
      <c r="A59" s="10"/>
      <c r="B59"/>
      <c r="C59" s="5"/>
    </row>
    <row r="60" spans="1:3" ht="20.100000000000001" customHeight="1" x14ac:dyDescent="0.4">
      <c r="A60" s="10"/>
      <c r="B60"/>
      <c r="C60" s="5"/>
    </row>
    <row r="61" spans="1:3" ht="20.100000000000001" customHeight="1" x14ac:dyDescent="0.4">
      <c r="A61" s="10"/>
      <c r="B61"/>
      <c r="C61" s="5"/>
    </row>
    <row r="66" spans="2:25" ht="20.100000000000001" customHeight="1" x14ac:dyDescent="0.4">
      <c r="O66"/>
      <c r="P66"/>
      <c r="Q66"/>
      <c r="R66"/>
      <c r="S66"/>
      <c r="T66"/>
      <c r="V66"/>
      <c r="W66"/>
      <c r="X66"/>
      <c r="Y66"/>
    </row>
    <row r="67" spans="2:25" ht="20.100000000000001" customHeight="1" x14ac:dyDescent="0.4">
      <c r="B67"/>
      <c r="C67"/>
      <c r="D67"/>
      <c r="E67"/>
      <c r="F67"/>
      <c r="G67"/>
      <c r="H67"/>
      <c r="I67"/>
      <c r="J67"/>
      <c r="K67"/>
      <c r="L67"/>
      <c r="M67"/>
      <c r="N67"/>
    </row>
  </sheetData>
  <mergeCells count="3">
    <mergeCell ref="A2:A3"/>
    <mergeCell ref="B2:C2"/>
    <mergeCell ref="B3:C3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64"/>
  <sheetViews>
    <sheetView topLeftCell="A10" zoomScale="85" zoomScaleNormal="85" workbookViewId="0">
      <selection activeCell="Q38" sqref="Q38"/>
    </sheetView>
  </sheetViews>
  <sheetFormatPr defaultRowHeight="20.100000000000001" customHeight="1" x14ac:dyDescent="0.4"/>
  <cols>
    <col min="1" max="1" width="23.09765625" style="1" bestFit="1" customWidth="1"/>
    <col min="2" max="3" width="7.59765625" style="1" customWidth="1"/>
    <col min="4" max="256" width="9" style="1"/>
    <col min="257" max="257" width="12.09765625" style="1" customWidth="1"/>
    <col min="258" max="259" width="7.59765625" style="1" customWidth="1"/>
    <col min="260" max="512" width="9" style="1"/>
    <col min="513" max="513" width="12.09765625" style="1" customWidth="1"/>
    <col min="514" max="515" width="7.59765625" style="1" customWidth="1"/>
    <col min="516" max="768" width="9" style="1"/>
    <col min="769" max="769" width="12.09765625" style="1" customWidth="1"/>
    <col min="770" max="771" width="7.59765625" style="1" customWidth="1"/>
    <col min="772" max="1024" width="9" style="1"/>
    <col min="1025" max="1025" width="12.09765625" style="1" customWidth="1"/>
    <col min="1026" max="1027" width="7.59765625" style="1" customWidth="1"/>
    <col min="1028" max="1280" width="9" style="1"/>
    <col min="1281" max="1281" width="12.09765625" style="1" customWidth="1"/>
    <col min="1282" max="1283" width="7.59765625" style="1" customWidth="1"/>
    <col min="1284" max="1536" width="9" style="1"/>
    <col min="1537" max="1537" width="12.09765625" style="1" customWidth="1"/>
    <col min="1538" max="1539" width="7.59765625" style="1" customWidth="1"/>
    <col min="1540" max="1792" width="9" style="1"/>
    <col min="1793" max="1793" width="12.09765625" style="1" customWidth="1"/>
    <col min="1794" max="1795" width="7.59765625" style="1" customWidth="1"/>
    <col min="1796" max="2048" width="9" style="1"/>
    <col min="2049" max="2049" width="12.09765625" style="1" customWidth="1"/>
    <col min="2050" max="2051" width="7.59765625" style="1" customWidth="1"/>
    <col min="2052" max="2304" width="9" style="1"/>
    <col min="2305" max="2305" width="12.09765625" style="1" customWidth="1"/>
    <col min="2306" max="2307" width="7.59765625" style="1" customWidth="1"/>
    <col min="2308" max="2560" width="9" style="1"/>
    <col min="2561" max="2561" width="12.09765625" style="1" customWidth="1"/>
    <col min="2562" max="2563" width="7.59765625" style="1" customWidth="1"/>
    <col min="2564" max="2816" width="9" style="1"/>
    <col min="2817" max="2817" width="12.09765625" style="1" customWidth="1"/>
    <col min="2818" max="2819" width="7.59765625" style="1" customWidth="1"/>
    <col min="2820" max="3072" width="9" style="1"/>
    <col min="3073" max="3073" width="12.09765625" style="1" customWidth="1"/>
    <col min="3074" max="3075" width="7.59765625" style="1" customWidth="1"/>
    <col min="3076" max="3328" width="9" style="1"/>
    <col min="3329" max="3329" width="12.09765625" style="1" customWidth="1"/>
    <col min="3330" max="3331" width="7.59765625" style="1" customWidth="1"/>
    <col min="3332" max="3584" width="9" style="1"/>
    <col min="3585" max="3585" width="12.09765625" style="1" customWidth="1"/>
    <col min="3586" max="3587" width="7.59765625" style="1" customWidth="1"/>
    <col min="3588" max="3840" width="9" style="1"/>
    <col min="3841" max="3841" width="12.09765625" style="1" customWidth="1"/>
    <col min="3842" max="3843" width="7.59765625" style="1" customWidth="1"/>
    <col min="3844" max="4096" width="9" style="1"/>
    <col min="4097" max="4097" width="12.09765625" style="1" customWidth="1"/>
    <col min="4098" max="4099" width="7.59765625" style="1" customWidth="1"/>
    <col min="4100" max="4352" width="9" style="1"/>
    <col min="4353" max="4353" width="12.09765625" style="1" customWidth="1"/>
    <col min="4354" max="4355" width="7.59765625" style="1" customWidth="1"/>
    <col min="4356" max="4608" width="9" style="1"/>
    <col min="4609" max="4609" width="12.09765625" style="1" customWidth="1"/>
    <col min="4610" max="4611" width="7.59765625" style="1" customWidth="1"/>
    <col min="4612" max="4864" width="9" style="1"/>
    <col min="4865" max="4865" width="12.09765625" style="1" customWidth="1"/>
    <col min="4866" max="4867" width="7.59765625" style="1" customWidth="1"/>
    <col min="4868" max="5120" width="9" style="1"/>
    <col min="5121" max="5121" width="12.09765625" style="1" customWidth="1"/>
    <col min="5122" max="5123" width="7.59765625" style="1" customWidth="1"/>
    <col min="5124" max="5376" width="9" style="1"/>
    <col min="5377" max="5377" width="12.09765625" style="1" customWidth="1"/>
    <col min="5378" max="5379" width="7.59765625" style="1" customWidth="1"/>
    <col min="5380" max="5632" width="9" style="1"/>
    <col min="5633" max="5633" width="12.09765625" style="1" customWidth="1"/>
    <col min="5634" max="5635" width="7.59765625" style="1" customWidth="1"/>
    <col min="5636" max="5888" width="9" style="1"/>
    <col min="5889" max="5889" width="12.09765625" style="1" customWidth="1"/>
    <col min="5890" max="5891" width="7.59765625" style="1" customWidth="1"/>
    <col min="5892" max="6144" width="9" style="1"/>
    <col min="6145" max="6145" width="12.09765625" style="1" customWidth="1"/>
    <col min="6146" max="6147" width="7.59765625" style="1" customWidth="1"/>
    <col min="6148" max="6400" width="9" style="1"/>
    <col min="6401" max="6401" width="12.09765625" style="1" customWidth="1"/>
    <col min="6402" max="6403" width="7.59765625" style="1" customWidth="1"/>
    <col min="6404" max="6656" width="9" style="1"/>
    <col min="6657" max="6657" width="12.09765625" style="1" customWidth="1"/>
    <col min="6658" max="6659" width="7.59765625" style="1" customWidth="1"/>
    <col min="6660" max="6912" width="9" style="1"/>
    <col min="6913" max="6913" width="12.09765625" style="1" customWidth="1"/>
    <col min="6914" max="6915" width="7.59765625" style="1" customWidth="1"/>
    <col min="6916" max="7168" width="9" style="1"/>
    <col min="7169" max="7169" width="12.09765625" style="1" customWidth="1"/>
    <col min="7170" max="7171" width="7.59765625" style="1" customWidth="1"/>
    <col min="7172" max="7424" width="9" style="1"/>
    <col min="7425" max="7425" width="12.09765625" style="1" customWidth="1"/>
    <col min="7426" max="7427" width="7.59765625" style="1" customWidth="1"/>
    <col min="7428" max="7680" width="9" style="1"/>
    <col min="7681" max="7681" width="12.09765625" style="1" customWidth="1"/>
    <col min="7682" max="7683" width="7.59765625" style="1" customWidth="1"/>
    <col min="7684" max="7936" width="9" style="1"/>
    <col min="7937" max="7937" width="12.09765625" style="1" customWidth="1"/>
    <col min="7938" max="7939" width="7.59765625" style="1" customWidth="1"/>
    <col min="7940" max="8192" width="9" style="1"/>
    <col min="8193" max="8193" width="12.09765625" style="1" customWidth="1"/>
    <col min="8194" max="8195" width="7.59765625" style="1" customWidth="1"/>
    <col min="8196" max="8448" width="9" style="1"/>
    <col min="8449" max="8449" width="12.09765625" style="1" customWidth="1"/>
    <col min="8450" max="8451" width="7.59765625" style="1" customWidth="1"/>
    <col min="8452" max="8704" width="9" style="1"/>
    <col min="8705" max="8705" width="12.09765625" style="1" customWidth="1"/>
    <col min="8706" max="8707" width="7.59765625" style="1" customWidth="1"/>
    <col min="8708" max="8960" width="9" style="1"/>
    <col min="8961" max="8961" width="12.09765625" style="1" customWidth="1"/>
    <col min="8962" max="8963" width="7.59765625" style="1" customWidth="1"/>
    <col min="8964" max="9216" width="9" style="1"/>
    <col min="9217" max="9217" width="12.09765625" style="1" customWidth="1"/>
    <col min="9218" max="9219" width="7.59765625" style="1" customWidth="1"/>
    <col min="9220" max="9472" width="9" style="1"/>
    <col min="9473" max="9473" width="12.09765625" style="1" customWidth="1"/>
    <col min="9474" max="9475" width="7.59765625" style="1" customWidth="1"/>
    <col min="9476" max="9728" width="9" style="1"/>
    <col min="9729" max="9729" width="12.09765625" style="1" customWidth="1"/>
    <col min="9730" max="9731" width="7.59765625" style="1" customWidth="1"/>
    <col min="9732" max="9984" width="9" style="1"/>
    <col min="9985" max="9985" width="12.09765625" style="1" customWidth="1"/>
    <col min="9986" max="9987" width="7.59765625" style="1" customWidth="1"/>
    <col min="9988" max="10240" width="9" style="1"/>
    <col min="10241" max="10241" width="12.09765625" style="1" customWidth="1"/>
    <col min="10242" max="10243" width="7.59765625" style="1" customWidth="1"/>
    <col min="10244" max="10496" width="9" style="1"/>
    <col min="10497" max="10497" width="12.09765625" style="1" customWidth="1"/>
    <col min="10498" max="10499" width="7.59765625" style="1" customWidth="1"/>
    <col min="10500" max="10752" width="9" style="1"/>
    <col min="10753" max="10753" width="12.09765625" style="1" customWidth="1"/>
    <col min="10754" max="10755" width="7.59765625" style="1" customWidth="1"/>
    <col min="10756" max="11008" width="9" style="1"/>
    <col min="11009" max="11009" width="12.09765625" style="1" customWidth="1"/>
    <col min="11010" max="11011" width="7.59765625" style="1" customWidth="1"/>
    <col min="11012" max="11264" width="9" style="1"/>
    <col min="11265" max="11265" width="12.09765625" style="1" customWidth="1"/>
    <col min="11266" max="11267" width="7.59765625" style="1" customWidth="1"/>
    <col min="11268" max="11520" width="9" style="1"/>
    <col min="11521" max="11521" width="12.09765625" style="1" customWidth="1"/>
    <col min="11522" max="11523" width="7.59765625" style="1" customWidth="1"/>
    <col min="11524" max="11776" width="9" style="1"/>
    <col min="11777" max="11777" width="12.09765625" style="1" customWidth="1"/>
    <col min="11778" max="11779" width="7.59765625" style="1" customWidth="1"/>
    <col min="11780" max="12032" width="9" style="1"/>
    <col min="12033" max="12033" width="12.09765625" style="1" customWidth="1"/>
    <col min="12034" max="12035" width="7.59765625" style="1" customWidth="1"/>
    <col min="12036" max="12288" width="9" style="1"/>
    <col min="12289" max="12289" width="12.09765625" style="1" customWidth="1"/>
    <col min="12290" max="12291" width="7.59765625" style="1" customWidth="1"/>
    <col min="12292" max="12544" width="9" style="1"/>
    <col min="12545" max="12545" width="12.09765625" style="1" customWidth="1"/>
    <col min="12546" max="12547" width="7.59765625" style="1" customWidth="1"/>
    <col min="12548" max="12800" width="9" style="1"/>
    <col min="12801" max="12801" width="12.09765625" style="1" customWidth="1"/>
    <col min="12802" max="12803" width="7.59765625" style="1" customWidth="1"/>
    <col min="12804" max="13056" width="9" style="1"/>
    <col min="13057" max="13057" width="12.09765625" style="1" customWidth="1"/>
    <col min="13058" max="13059" width="7.59765625" style="1" customWidth="1"/>
    <col min="13060" max="13312" width="9" style="1"/>
    <col min="13313" max="13313" width="12.09765625" style="1" customWidth="1"/>
    <col min="13314" max="13315" width="7.59765625" style="1" customWidth="1"/>
    <col min="13316" max="13568" width="9" style="1"/>
    <col min="13569" max="13569" width="12.09765625" style="1" customWidth="1"/>
    <col min="13570" max="13571" width="7.59765625" style="1" customWidth="1"/>
    <col min="13572" max="13824" width="9" style="1"/>
    <col min="13825" max="13825" width="12.09765625" style="1" customWidth="1"/>
    <col min="13826" max="13827" width="7.59765625" style="1" customWidth="1"/>
    <col min="13828" max="14080" width="9" style="1"/>
    <col min="14081" max="14081" width="12.09765625" style="1" customWidth="1"/>
    <col min="14082" max="14083" width="7.59765625" style="1" customWidth="1"/>
    <col min="14084" max="14336" width="9" style="1"/>
    <col min="14337" max="14337" width="12.09765625" style="1" customWidth="1"/>
    <col min="14338" max="14339" width="7.59765625" style="1" customWidth="1"/>
    <col min="14340" max="14592" width="9" style="1"/>
    <col min="14593" max="14593" width="12.09765625" style="1" customWidth="1"/>
    <col min="14594" max="14595" width="7.59765625" style="1" customWidth="1"/>
    <col min="14596" max="14848" width="9" style="1"/>
    <col min="14849" max="14849" width="12.09765625" style="1" customWidth="1"/>
    <col min="14850" max="14851" width="7.59765625" style="1" customWidth="1"/>
    <col min="14852" max="15104" width="9" style="1"/>
    <col min="15105" max="15105" width="12.09765625" style="1" customWidth="1"/>
    <col min="15106" max="15107" width="7.59765625" style="1" customWidth="1"/>
    <col min="15108" max="15360" width="9" style="1"/>
    <col min="15361" max="15361" width="12.09765625" style="1" customWidth="1"/>
    <col min="15362" max="15363" width="7.59765625" style="1" customWidth="1"/>
    <col min="15364" max="15616" width="9" style="1"/>
    <col min="15617" max="15617" width="12.09765625" style="1" customWidth="1"/>
    <col min="15618" max="15619" width="7.59765625" style="1" customWidth="1"/>
    <col min="15620" max="15872" width="9" style="1"/>
    <col min="15873" max="15873" width="12.09765625" style="1" customWidth="1"/>
    <col min="15874" max="15875" width="7.59765625" style="1" customWidth="1"/>
    <col min="15876" max="16128" width="9" style="1"/>
    <col min="16129" max="16129" width="12.09765625" style="1" customWidth="1"/>
    <col min="16130" max="16131" width="7.59765625" style="1" customWidth="1"/>
    <col min="16132" max="16384" width="9" style="1"/>
  </cols>
  <sheetData>
    <row r="1" spans="1:28" ht="20.100000000000001" customHeight="1" x14ac:dyDescent="0.4">
      <c r="A1" s="1" t="s">
        <v>11</v>
      </c>
      <c r="B1" s="1" t="s">
        <v>12</v>
      </c>
      <c r="Q1" s="1" t="s">
        <v>24</v>
      </c>
      <c r="R1" s="1">
        <f>MAX(Q4:AB9)</f>
        <v>26</v>
      </c>
      <c r="T1" s="1" t="s">
        <v>25</v>
      </c>
      <c r="U1" s="1">
        <f>MAX(P38:R38)</f>
        <v>176.5</v>
      </c>
      <c r="V1" s="1" t="s">
        <v>26</v>
      </c>
      <c r="W1" s="1">
        <f>SUM(Q4:AB9)</f>
        <v>246</v>
      </c>
    </row>
    <row r="2" spans="1:28" ht="20.100000000000001" customHeight="1" x14ac:dyDescent="0.4">
      <c r="A2" s="11" t="s">
        <v>0</v>
      </c>
      <c r="B2" s="13" t="s">
        <v>2</v>
      </c>
      <c r="C2" s="13"/>
      <c r="O2" s="1" t="s">
        <v>13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</row>
    <row r="3" spans="1:28" ht="20.100000000000001" customHeight="1" thickBot="1" x14ac:dyDescent="0.45">
      <c r="A3" s="12"/>
      <c r="B3" s="13" t="s">
        <v>14</v>
      </c>
      <c r="C3" s="13"/>
      <c r="O3" s="1" t="s">
        <v>14</v>
      </c>
      <c r="Q3" s="1">
        <v>13</v>
      </c>
      <c r="R3" s="1">
        <v>14</v>
      </c>
      <c r="S3" s="1">
        <v>15</v>
      </c>
      <c r="T3" s="1">
        <v>16</v>
      </c>
      <c r="U3" s="1">
        <v>17</v>
      </c>
      <c r="V3" s="1">
        <v>18</v>
      </c>
      <c r="W3" s="1">
        <v>19</v>
      </c>
      <c r="X3" s="1">
        <v>20</v>
      </c>
      <c r="Y3" s="1">
        <v>21</v>
      </c>
      <c r="Z3" s="1">
        <v>22</v>
      </c>
      <c r="AA3" s="1">
        <v>23</v>
      </c>
      <c r="AB3" s="1">
        <v>24</v>
      </c>
    </row>
    <row r="4" spans="1:28" ht="20.100000000000001" customHeight="1" thickTop="1" x14ac:dyDescent="0.4">
      <c r="A4" s="10">
        <v>42931.958333333336</v>
      </c>
      <c r="B4">
        <v>0</v>
      </c>
      <c r="C4" s="4">
        <f>B4</f>
        <v>0</v>
      </c>
      <c r="O4" s="1" t="s">
        <v>15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t="20.100000000000001" customHeight="1" x14ac:dyDescent="0.4">
      <c r="A5" s="10">
        <v>42932</v>
      </c>
      <c r="B5">
        <v>0</v>
      </c>
      <c r="C5" s="5">
        <f>C4+B5</f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1.5</v>
      </c>
      <c r="W5">
        <v>1.5</v>
      </c>
      <c r="X5">
        <v>1</v>
      </c>
      <c r="Y5">
        <v>1</v>
      </c>
      <c r="Z5">
        <v>3.5</v>
      </c>
      <c r="AA5">
        <v>4</v>
      </c>
      <c r="AB5">
        <v>6.5</v>
      </c>
    </row>
    <row r="6" spans="1:28" ht="20.100000000000001" customHeight="1" x14ac:dyDescent="0.4">
      <c r="A6" s="10">
        <v>42932.041666666664</v>
      </c>
      <c r="B6">
        <v>0.5</v>
      </c>
      <c r="C6" s="5">
        <f t="shared" ref="C6:C63" si="0">C5+B6</f>
        <v>0.5</v>
      </c>
      <c r="O6" s="1" t="s">
        <v>16</v>
      </c>
      <c r="Q6">
        <v>6.5</v>
      </c>
      <c r="R6">
        <v>4.5</v>
      </c>
      <c r="S6">
        <v>0.5</v>
      </c>
      <c r="T6">
        <v>2.5</v>
      </c>
      <c r="U6">
        <v>1</v>
      </c>
      <c r="V6">
        <v>3</v>
      </c>
      <c r="W6">
        <v>12</v>
      </c>
      <c r="X6">
        <v>5.5</v>
      </c>
      <c r="Y6">
        <v>12.5</v>
      </c>
      <c r="Z6">
        <v>9.5</v>
      </c>
      <c r="AA6">
        <v>26</v>
      </c>
      <c r="AB6">
        <v>11</v>
      </c>
    </row>
    <row r="7" spans="1:28" ht="20.100000000000001" customHeight="1" x14ac:dyDescent="0.4">
      <c r="A7" s="10">
        <v>42932.083333333336</v>
      </c>
      <c r="B7">
        <v>3.5</v>
      </c>
      <c r="C7" s="5">
        <f t="shared" si="0"/>
        <v>4</v>
      </c>
      <c r="Q7">
        <v>19</v>
      </c>
      <c r="R7">
        <v>2.5</v>
      </c>
      <c r="S7">
        <v>0.5</v>
      </c>
      <c r="T7">
        <v>6.5</v>
      </c>
      <c r="U7">
        <v>24.5</v>
      </c>
      <c r="V7">
        <v>8</v>
      </c>
      <c r="W7">
        <v>10</v>
      </c>
      <c r="X7">
        <v>11</v>
      </c>
      <c r="Y7">
        <v>17.5</v>
      </c>
      <c r="Z7">
        <v>2</v>
      </c>
      <c r="AA7">
        <v>0</v>
      </c>
      <c r="AB7">
        <v>0</v>
      </c>
    </row>
    <row r="8" spans="1:28" ht="20.100000000000001" customHeight="1" x14ac:dyDescent="0.4">
      <c r="A8" s="10">
        <v>42932.125</v>
      </c>
      <c r="B8">
        <v>6</v>
      </c>
      <c r="C8" s="5">
        <f t="shared" si="0"/>
        <v>10</v>
      </c>
      <c r="O8" s="1" t="s">
        <v>17</v>
      </c>
      <c r="Q8">
        <v>0.5</v>
      </c>
      <c r="R8">
        <v>0</v>
      </c>
      <c r="S8">
        <v>0</v>
      </c>
      <c r="T8">
        <v>0</v>
      </c>
      <c r="U8">
        <v>0.5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t="20.100000000000001" customHeight="1" x14ac:dyDescent="0.4">
      <c r="A9" s="10">
        <v>42932.166666666664</v>
      </c>
      <c r="B9">
        <v>2</v>
      </c>
      <c r="C9" s="5">
        <f t="shared" si="0"/>
        <v>12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17.5</v>
      </c>
      <c r="Z9">
        <v>11.5</v>
      </c>
      <c r="AA9">
        <v>0</v>
      </c>
      <c r="AB9">
        <v>0</v>
      </c>
    </row>
    <row r="10" spans="1:28" ht="20.100000000000001" customHeight="1" x14ac:dyDescent="0.4">
      <c r="A10" s="10">
        <v>42932.208333333336</v>
      </c>
      <c r="B10">
        <v>6</v>
      </c>
      <c r="C10" s="5">
        <f t="shared" si="0"/>
        <v>18</v>
      </c>
    </row>
    <row r="11" spans="1:28" ht="20.100000000000001" customHeight="1" x14ac:dyDescent="0.4">
      <c r="A11" s="10">
        <v>42932.25</v>
      </c>
      <c r="B11">
        <v>1</v>
      </c>
      <c r="C11" s="5">
        <f t="shared" si="0"/>
        <v>19</v>
      </c>
    </row>
    <row r="12" spans="1:28" ht="20.100000000000001" customHeight="1" x14ac:dyDescent="0.4">
      <c r="A12" s="10">
        <v>42932.291666666664</v>
      </c>
      <c r="B12">
        <v>0</v>
      </c>
      <c r="C12" s="5">
        <f t="shared" si="0"/>
        <v>19</v>
      </c>
    </row>
    <row r="13" spans="1:28" ht="20.100000000000001" customHeight="1" x14ac:dyDescent="0.4">
      <c r="A13" s="10">
        <v>42932.333333333336</v>
      </c>
      <c r="B13">
        <v>0</v>
      </c>
      <c r="C13" s="5">
        <f t="shared" si="0"/>
        <v>19</v>
      </c>
      <c r="Y13" s="1" t="s">
        <v>28</v>
      </c>
    </row>
    <row r="14" spans="1:28" ht="20.100000000000001" customHeight="1" x14ac:dyDescent="0.4">
      <c r="A14" s="10">
        <v>42932.375</v>
      </c>
      <c r="B14">
        <v>0</v>
      </c>
      <c r="C14" s="5">
        <f t="shared" si="0"/>
        <v>19</v>
      </c>
    </row>
    <row r="15" spans="1:28" ht="20.100000000000001" customHeight="1" x14ac:dyDescent="0.4">
      <c r="A15" s="10">
        <v>42932.416666666664</v>
      </c>
      <c r="B15">
        <v>0</v>
      </c>
      <c r="C15" s="5">
        <f t="shared" si="0"/>
        <v>19</v>
      </c>
    </row>
    <row r="16" spans="1:28" ht="20.100000000000001" customHeight="1" x14ac:dyDescent="0.4">
      <c r="A16" s="10">
        <v>42932.458333333336</v>
      </c>
      <c r="B16">
        <v>0</v>
      </c>
      <c r="C16" s="5">
        <f t="shared" si="0"/>
        <v>19</v>
      </c>
      <c r="P16" s="1" t="s">
        <v>15</v>
      </c>
      <c r="Q16" s="1" t="s">
        <v>16</v>
      </c>
      <c r="R16" s="1" t="s">
        <v>17</v>
      </c>
    </row>
    <row r="17" spans="1:21" ht="20.100000000000001" customHeight="1" x14ac:dyDescent="0.4">
      <c r="A17" s="10">
        <v>42932.5</v>
      </c>
      <c r="B17">
        <v>0</v>
      </c>
      <c r="C17" s="5">
        <f t="shared" si="0"/>
        <v>19</v>
      </c>
      <c r="P17">
        <v>0</v>
      </c>
      <c r="Q17">
        <v>6.5</v>
      </c>
      <c r="R17">
        <v>0.5</v>
      </c>
      <c r="S17">
        <v>0</v>
      </c>
      <c r="T17">
        <v>0</v>
      </c>
      <c r="U17">
        <v>0</v>
      </c>
    </row>
    <row r="18" spans="1:21" ht="20.100000000000001" customHeight="1" x14ac:dyDescent="0.4">
      <c r="A18" s="10">
        <v>42932.541666666664</v>
      </c>
      <c r="B18">
        <v>0</v>
      </c>
      <c r="C18" s="5">
        <f t="shared" si="0"/>
        <v>19</v>
      </c>
      <c r="P18">
        <v>0</v>
      </c>
      <c r="Q18">
        <v>4.5</v>
      </c>
      <c r="R18">
        <v>0</v>
      </c>
      <c r="S18">
        <v>0</v>
      </c>
      <c r="T18">
        <v>0</v>
      </c>
      <c r="U18">
        <v>0</v>
      </c>
    </row>
    <row r="19" spans="1:21" ht="20.100000000000001" customHeight="1" x14ac:dyDescent="0.4">
      <c r="A19" s="10">
        <v>42932.583333333336</v>
      </c>
      <c r="B19">
        <v>0</v>
      </c>
      <c r="C19" s="5">
        <f t="shared" si="0"/>
        <v>19</v>
      </c>
      <c r="P19">
        <v>0</v>
      </c>
      <c r="Q19">
        <v>0.5</v>
      </c>
      <c r="R19">
        <v>0</v>
      </c>
      <c r="S19">
        <v>0.5</v>
      </c>
      <c r="T19">
        <v>0</v>
      </c>
      <c r="U19">
        <v>0</v>
      </c>
    </row>
    <row r="20" spans="1:21" ht="20.100000000000001" customHeight="1" x14ac:dyDescent="0.4">
      <c r="A20" s="10">
        <v>42932.625</v>
      </c>
      <c r="B20">
        <v>0</v>
      </c>
      <c r="C20" s="5">
        <f t="shared" si="0"/>
        <v>19</v>
      </c>
      <c r="P20">
        <v>0</v>
      </c>
      <c r="Q20">
        <v>2.5</v>
      </c>
      <c r="R20">
        <v>0</v>
      </c>
      <c r="S20">
        <v>3.5</v>
      </c>
      <c r="T20">
        <v>0</v>
      </c>
      <c r="U20">
        <v>0</v>
      </c>
    </row>
    <row r="21" spans="1:21" ht="20.100000000000001" customHeight="1" x14ac:dyDescent="0.4">
      <c r="A21" s="10">
        <v>42932.666666666664</v>
      </c>
      <c r="B21">
        <v>0</v>
      </c>
      <c r="C21" s="5">
        <f t="shared" si="0"/>
        <v>19</v>
      </c>
      <c r="P21">
        <v>0</v>
      </c>
      <c r="Q21">
        <v>1</v>
      </c>
      <c r="R21">
        <v>0.5</v>
      </c>
      <c r="S21">
        <v>6</v>
      </c>
      <c r="T21">
        <v>0</v>
      </c>
      <c r="U21">
        <v>0</v>
      </c>
    </row>
    <row r="22" spans="1:21" ht="20.100000000000001" customHeight="1" x14ac:dyDescent="0.4">
      <c r="A22" s="10">
        <v>42932.708333333336</v>
      </c>
      <c r="B22">
        <v>0</v>
      </c>
      <c r="C22" s="5">
        <f t="shared" si="0"/>
        <v>19</v>
      </c>
      <c r="P22">
        <v>0</v>
      </c>
      <c r="Q22">
        <v>3</v>
      </c>
      <c r="R22">
        <v>0</v>
      </c>
      <c r="S22">
        <v>2</v>
      </c>
      <c r="T22">
        <v>0</v>
      </c>
      <c r="U22">
        <v>0</v>
      </c>
    </row>
    <row r="23" spans="1:21" ht="20.100000000000001" customHeight="1" x14ac:dyDescent="0.4">
      <c r="A23" s="10">
        <v>42932.75</v>
      </c>
      <c r="B23">
        <v>0</v>
      </c>
      <c r="C23" s="5">
        <f t="shared" si="0"/>
        <v>19</v>
      </c>
      <c r="P23">
        <v>0</v>
      </c>
      <c r="Q23">
        <v>12</v>
      </c>
      <c r="R23">
        <v>0</v>
      </c>
      <c r="S23">
        <v>6</v>
      </c>
      <c r="T23">
        <v>0</v>
      </c>
      <c r="U23">
        <v>0</v>
      </c>
    </row>
    <row r="24" spans="1:21" ht="20.100000000000001" customHeight="1" x14ac:dyDescent="0.4">
      <c r="A24" s="10">
        <v>42932.791666666664</v>
      </c>
      <c r="B24">
        <v>0</v>
      </c>
      <c r="C24" s="5">
        <f t="shared" si="0"/>
        <v>19</v>
      </c>
      <c r="P24">
        <v>0</v>
      </c>
      <c r="Q24">
        <v>5.5</v>
      </c>
      <c r="R24">
        <v>0</v>
      </c>
      <c r="S24">
        <v>1</v>
      </c>
      <c r="T24">
        <v>0</v>
      </c>
      <c r="U24">
        <v>0</v>
      </c>
    </row>
    <row r="25" spans="1:21" ht="20.100000000000001" customHeight="1" x14ac:dyDescent="0.4">
      <c r="A25" s="10">
        <v>42932.833333333336</v>
      </c>
      <c r="B25">
        <v>0</v>
      </c>
      <c r="C25" s="5">
        <f t="shared" si="0"/>
        <v>19</v>
      </c>
      <c r="P25">
        <v>0</v>
      </c>
      <c r="Q25">
        <v>12.5</v>
      </c>
      <c r="R25">
        <v>0</v>
      </c>
      <c r="S25">
        <v>0</v>
      </c>
      <c r="T25">
        <v>0.5</v>
      </c>
      <c r="U25">
        <v>0</v>
      </c>
    </row>
    <row r="26" spans="1:21" ht="20.100000000000001" customHeight="1" x14ac:dyDescent="0.4">
      <c r="A26" s="10">
        <v>42932.875</v>
      </c>
      <c r="B26">
        <v>0</v>
      </c>
      <c r="C26" s="5">
        <f t="shared" si="0"/>
        <v>19</v>
      </c>
      <c r="P26">
        <v>0</v>
      </c>
      <c r="Q26">
        <v>9.5</v>
      </c>
      <c r="R26">
        <v>0</v>
      </c>
      <c r="S26">
        <v>0</v>
      </c>
      <c r="T26">
        <v>0.5</v>
      </c>
      <c r="U26">
        <v>0</v>
      </c>
    </row>
    <row r="27" spans="1:21" ht="20.100000000000001" customHeight="1" x14ac:dyDescent="0.4">
      <c r="A27" s="10">
        <v>42932.916666666664</v>
      </c>
      <c r="B27">
        <v>0</v>
      </c>
      <c r="C27" s="5">
        <f t="shared" si="0"/>
        <v>19</v>
      </c>
      <c r="P27">
        <v>0</v>
      </c>
      <c r="Q27">
        <v>26</v>
      </c>
      <c r="R27">
        <v>0</v>
      </c>
      <c r="S27">
        <v>0</v>
      </c>
      <c r="T27">
        <v>9</v>
      </c>
      <c r="U27">
        <v>0</v>
      </c>
    </row>
    <row r="28" spans="1:21" ht="20.100000000000001" customHeight="1" x14ac:dyDescent="0.4">
      <c r="A28" s="10">
        <v>42932.958333333336</v>
      </c>
      <c r="B28">
        <v>0</v>
      </c>
      <c r="C28" s="5">
        <f t="shared" si="0"/>
        <v>19</v>
      </c>
      <c r="P28">
        <v>0</v>
      </c>
      <c r="Q28">
        <v>11</v>
      </c>
      <c r="R28">
        <v>0</v>
      </c>
      <c r="S28">
        <v>0</v>
      </c>
      <c r="T28">
        <v>28</v>
      </c>
      <c r="U28">
        <v>0</v>
      </c>
    </row>
    <row r="29" spans="1:21" ht="20.100000000000001" customHeight="1" x14ac:dyDescent="0.4">
      <c r="A29" s="10">
        <v>42933</v>
      </c>
      <c r="B29">
        <v>0</v>
      </c>
      <c r="C29" s="5">
        <f t="shared" si="0"/>
        <v>19</v>
      </c>
      <c r="P29">
        <v>0</v>
      </c>
      <c r="Q29">
        <v>19</v>
      </c>
      <c r="R29">
        <v>0</v>
      </c>
      <c r="S29">
        <v>0</v>
      </c>
      <c r="T29">
        <v>31</v>
      </c>
      <c r="U29">
        <v>0</v>
      </c>
    </row>
    <row r="30" spans="1:21" ht="20.100000000000001" customHeight="1" x14ac:dyDescent="0.4">
      <c r="A30" s="10">
        <v>42933.041666666664</v>
      </c>
      <c r="B30">
        <v>0</v>
      </c>
      <c r="C30" s="5">
        <f t="shared" si="0"/>
        <v>19</v>
      </c>
      <c r="P30">
        <v>0</v>
      </c>
      <c r="Q30">
        <v>2.5</v>
      </c>
      <c r="R30">
        <v>0</v>
      </c>
      <c r="S30">
        <v>0</v>
      </c>
      <c r="T30">
        <v>31</v>
      </c>
      <c r="U30">
        <v>0</v>
      </c>
    </row>
    <row r="31" spans="1:21" ht="20.100000000000001" customHeight="1" x14ac:dyDescent="0.4">
      <c r="A31" s="10">
        <v>42933.083333333336</v>
      </c>
      <c r="B31">
        <v>0</v>
      </c>
      <c r="C31" s="5">
        <f t="shared" si="0"/>
        <v>19</v>
      </c>
      <c r="P31">
        <v>0</v>
      </c>
      <c r="Q31">
        <v>0.5</v>
      </c>
      <c r="R31">
        <v>0</v>
      </c>
      <c r="S31">
        <v>0</v>
      </c>
      <c r="T31">
        <v>19.5</v>
      </c>
      <c r="U31">
        <v>0</v>
      </c>
    </row>
    <row r="32" spans="1:21" ht="20.100000000000001" customHeight="1" x14ac:dyDescent="0.4">
      <c r="A32" s="10">
        <v>42933.125</v>
      </c>
      <c r="B32">
        <v>0</v>
      </c>
      <c r="C32" s="5">
        <f t="shared" si="0"/>
        <v>19</v>
      </c>
      <c r="P32">
        <v>0</v>
      </c>
      <c r="Q32">
        <v>6.5</v>
      </c>
      <c r="R32">
        <v>0</v>
      </c>
      <c r="S32">
        <v>0</v>
      </c>
      <c r="T32">
        <v>0.5</v>
      </c>
      <c r="U32">
        <v>0</v>
      </c>
    </row>
    <row r="33" spans="1:21" ht="20.100000000000001" customHeight="1" x14ac:dyDescent="0.4">
      <c r="A33" s="10">
        <v>42933.166666666664</v>
      </c>
      <c r="B33">
        <v>0.5</v>
      </c>
      <c r="C33" s="5">
        <f>C32+B33</f>
        <v>19.5</v>
      </c>
      <c r="P33">
        <v>1</v>
      </c>
      <c r="Q33">
        <v>24.5</v>
      </c>
      <c r="R33">
        <v>0</v>
      </c>
      <c r="S33">
        <v>0</v>
      </c>
      <c r="T33">
        <v>0</v>
      </c>
      <c r="U33">
        <v>0</v>
      </c>
    </row>
    <row r="34" spans="1:21" ht="20.100000000000001" customHeight="1" x14ac:dyDescent="0.4">
      <c r="A34" s="10">
        <v>42933.208333333336</v>
      </c>
      <c r="B34">
        <v>0.5</v>
      </c>
      <c r="C34" s="5">
        <f t="shared" si="0"/>
        <v>20</v>
      </c>
      <c r="P34">
        <v>1.5</v>
      </c>
      <c r="Q34">
        <v>8</v>
      </c>
      <c r="R34">
        <v>0</v>
      </c>
      <c r="S34">
        <v>0</v>
      </c>
      <c r="T34">
        <v>0</v>
      </c>
      <c r="U34">
        <v>0</v>
      </c>
    </row>
    <row r="35" spans="1:21" ht="20.100000000000001" customHeight="1" x14ac:dyDescent="0.4">
      <c r="A35" s="10">
        <v>42933.25</v>
      </c>
      <c r="B35">
        <v>9</v>
      </c>
      <c r="C35" s="5">
        <f t="shared" si="0"/>
        <v>29</v>
      </c>
      <c r="P35">
        <v>1.5</v>
      </c>
      <c r="Q35">
        <v>10</v>
      </c>
      <c r="R35">
        <v>0</v>
      </c>
      <c r="S35">
        <v>0</v>
      </c>
      <c r="T35">
        <v>0</v>
      </c>
      <c r="U35">
        <v>0</v>
      </c>
    </row>
    <row r="36" spans="1:21" ht="20.100000000000001" customHeight="1" x14ac:dyDescent="0.4">
      <c r="A36" s="10">
        <v>42933.291666666664</v>
      </c>
      <c r="B36">
        <v>28</v>
      </c>
      <c r="C36" s="5">
        <f t="shared" si="0"/>
        <v>57</v>
      </c>
      <c r="P36">
        <v>1</v>
      </c>
      <c r="Q36">
        <v>11</v>
      </c>
      <c r="R36">
        <v>0</v>
      </c>
      <c r="S36">
        <v>0</v>
      </c>
      <c r="T36">
        <v>0</v>
      </c>
      <c r="U36">
        <v>0</v>
      </c>
    </row>
    <row r="37" spans="1:21" ht="20.100000000000001" customHeight="1" x14ac:dyDescent="0.4">
      <c r="A37" s="10">
        <v>42933.333333333336</v>
      </c>
      <c r="B37">
        <v>31</v>
      </c>
      <c r="C37" s="5">
        <f t="shared" si="0"/>
        <v>88</v>
      </c>
      <c r="P37">
        <v>6.5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ht="20.100000000000001" customHeight="1" x14ac:dyDescent="0.4">
      <c r="A38" s="10">
        <v>42933.375</v>
      </c>
      <c r="B38">
        <v>31</v>
      </c>
      <c r="C38" s="5">
        <f t="shared" si="0"/>
        <v>119</v>
      </c>
      <c r="O38" s="1" t="s">
        <v>27</v>
      </c>
      <c r="P38">
        <f>SUM(P17:P37)</f>
        <v>11.5</v>
      </c>
      <c r="Q38">
        <f>SUM(Q17:Q37)</f>
        <v>176.5</v>
      </c>
      <c r="R38">
        <f>SUM(R17:R37)</f>
        <v>1</v>
      </c>
      <c r="U38">
        <v>0</v>
      </c>
    </row>
    <row r="39" spans="1:21" ht="20.100000000000001" customHeight="1" x14ac:dyDescent="0.4">
      <c r="A39" s="10">
        <v>42933.416666666664</v>
      </c>
      <c r="B39">
        <v>19.5</v>
      </c>
      <c r="C39" s="5">
        <f t="shared" si="0"/>
        <v>138.5</v>
      </c>
      <c r="U39">
        <v>3.5</v>
      </c>
    </row>
    <row r="40" spans="1:21" ht="20.100000000000001" customHeight="1" x14ac:dyDescent="0.4">
      <c r="A40" s="10">
        <v>42933.458333333336</v>
      </c>
      <c r="B40">
        <v>0.5</v>
      </c>
      <c r="C40" s="5">
        <f t="shared" si="0"/>
        <v>139</v>
      </c>
      <c r="U40">
        <v>7.5</v>
      </c>
    </row>
    <row r="41" spans="1:21" ht="20.100000000000001" customHeight="1" x14ac:dyDescent="0.4">
      <c r="A41" s="10">
        <v>42933.5</v>
      </c>
      <c r="B41">
        <v>0</v>
      </c>
      <c r="C41" s="5">
        <f t="shared" si="0"/>
        <v>139</v>
      </c>
      <c r="U41">
        <v>0.5</v>
      </c>
    </row>
    <row r="42" spans="1:21" ht="20.100000000000001" customHeight="1" x14ac:dyDescent="0.4">
      <c r="A42" s="10">
        <v>42933.541666666664</v>
      </c>
      <c r="B42">
        <v>0</v>
      </c>
      <c r="C42" s="5">
        <f t="shared" si="0"/>
        <v>139</v>
      </c>
      <c r="U42">
        <v>0</v>
      </c>
    </row>
    <row r="43" spans="1:21" ht="20.100000000000001" customHeight="1" x14ac:dyDescent="0.4">
      <c r="A43" s="10">
        <v>42933.583333333336</v>
      </c>
      <c r="B43">
        <v>0</v>
      </c>
      <c r="C43" s="5">
        <f t="shared" si="0"/>
        <v>139</v>
      </c>
      <c r="U43">
        <v>0</v>
      </c>
    </row>
    <row r="44" spans="1:21" ht="20.100000000000001" customHeight="1" x14ac:dyDescent="0.4">
      <c r="A44" s="10">
        <v>42933.625</v>
      </c>
      <c r="B44">
        <v>0</v>
      </c>
      <c r="C44" s="5">
        <f t="shared" si="0"/>
        <v>139</v>
      </c>
      <c r="U44">
        <v>0</v>
      </c>
    </row>
    <row r="45" spans="1:21" ht="20.100000000000001" customHeight="1" x14ac:dyDescent="0.4">
      <c r="A45" s="10">
        <v>42933.666666666664</v>
      </c>
      <c r="B45">
        <v>0</v>
      </c>
      <c r="C45" s="5">
        <f t="shared" si="0"/>
        <v>139</v>
      </c>
      <c r="U45">
        <v>0</v>
      </c>
    </row>
    <row r="46" spans="1:21" ht="20.100000000000001" customHeight="1" x14ac:dyDescent="0.4">
      <c r="A46" s="10">
        <v>42932.666666666664</v>
      </c>
      <c r="B46">
        <v>0</v>
      </c>
      <c r="C46" s="5">
        <f t="shared" si="0"/>
        <v>139</v>
      </c>
    </row>
    <row r="47" spans="1:21" ht="20.100000000000001" customHeight="1" x14ac:dyDescent="0.4">
      <c r="A47" s="10">
        <v>42932.708333333336</v>
      </c>
      <c r="B47">
        <v>0</v>
      </c>
      <c r="C47" s="5">
        <f t="shared" si="0"/>
        <v>139</v>
      </c>
      <c r="N47" s="10">
        <v>42932.666666666664</v>
      </c>
      <c r="O47">
        <v>0</v>
      </c>
    </row>
    <row r="48" spans="1:21" ht="20.100000000000001" customHeight="1" x14ac:dyDescent="0.4">
      <c r="A48" s="10">
        <v>42932.75</v>
      </c>
      <c r="B48">
        <v>0</v>
      </c>
      <c r="C48" s="5">
        <f t="shared" si="0"/>
        <v>139</v>
      </c>
      <c r="N48" s="10">
        <v>42932.708333333336</v>
      </c>
      <c r="O48">
        <v>0</v>
      </c>
    </row>
    <row r="49" spans="1:15" ht="20.100000000000001" customHeight="1" x14ac:dyDescent="0.4">
      <c r="A49" s="10">
        <v>42932.791666666664</v>
      </c>
      <c r="B49">
        <v>0</v>
      </c>
      <c r="C49" s="5">
        <f t="shared" si="0"/>
        <v>139</v>
      </c>
      <c r="N49" s="10">
        <v>42932.75</v>
      </c>
      <c r="O49">
        <v>0</v>
      </c>
    </row>
    <row r="50" spans="1:15" ht="20.100000000000001" customHeight="1" x14ac:dyDescent="0.4">
      <c r="A50" s="10">
        <v>42932.833333333336</v>
      </c>
      <c r="B50">
        <v>0</v>
      </c>
      <c r="C50" s="5">
        <f t="shared" si="0"/>
        <v>139</v>
      </c>
      <c r="N50" s="10">
        <v>42932.791666666664</v>
      </c>
      <c r="O50">
        <v>0</v>
      </c>
    </row>
    <row r="51" spans="1:15" ht="20.100000000000001" customHeight="1" x14ac:dyDescent="0.4">
      <c r="A51" s="10">
        <v>42932.875</v>
      </c>
      <c r="B51">
        <v>0</v>
      </c>
      <c r="C51" s="5">
        <f t="shared" si="0"/>
        <v>139</v>
      </c>
      <c r="N51" s="10">
        <v>42932.833333333336</v>
      </c>
      <c r="O51">
        <v>0</v>
      </c>
    </row>
    <row r="52" spans="1:15" ht="20.100000000000001" customHeight="1" x14ac:dyDescent="0.4">
      <c r="A52" s="10">
        <v>42932.916666666664</v>
      </c>
      <c r="B52">
        <v>0</v>
      </c>
      <c r="C52" s="5">
        <f t="shared" si="0"/>
        <v>139</v>
      </c>
      <c r="N52" s="10">
        <v>42932.875</v>
      </c>
      <c r="O52">
        <v>0</v>
      </c>
    </row>
    <row r="53" spans="1:15" ht="20.100000000000001" customHeight="1" x14ac:dyDescent="0.4">
      <c r="A53" s="10">
        <v>42932.958333333336</v>
      </c>
      <c r="B53">
        <v>0</v>
      </c>
      <c r="C53" s="5">
        <f t="shared" si="0"/>
        <v>139</v>
      </c>
      <c r="N53" s="10">
        <v>42932.916666666664</v>
      </c>
      <c r="O53">
        <v>0</v>
      </c>
    </row>
    <row r="54" spans="1:15" ht="20.100000000000001" customHeight="1" x14ac:dyDescent="0.4">
      <c r="A54" s="10">
        <v>42933</v>
      </c>
      <c r="B54">
        <v>0</v>
      </c>
      <c r="C54" s="5">
        <f t="shared" si="0"/>
        <v>139</v>
      </c>
      <c r="N54" s="10">
        <v>42932.958333333336</v>
      </c>
      <c r="O54">
        <v>0</v>
      </c>
    </row>
    <row r="55" spans="1:15" ht="20.100000000000001" customHeight="1" x14ac:dyDescent="0.4">
      <c r="A55" s="10">
        <v>42933.041666666664</v>
      </c>
      <c r="B55">
        <v>0</v>
      </c>
      <c r="C55" s="5">
        <f t="shared" si="0"/>
        <v>139</v>
      </c>
      <c r="N55" s="10">
        <v>42933</v>
      </c>
      <c r="O55">
        <v>0</v>
      </c>
    </row>
    <row r="56" spans="1:15" ht="35.4" customHeight="1" x14ac:dyDescent="0.4">
      <c r="A56" s="10">
        <v>42933.083333333336</v>
      </c>
      <c r="B56">
        <v>0</v>
      </c>
      <c r="C56" s="5">
        <f t="shared" si="0"/>
        <v>139</v>
      </c>
      <c r="F56" s="16" t="s">
        <v>3</v>
      </c>
      <c r="G56" s="6">
        <v>27.5</v>
      </c>
      <c r="H56" s="6">
        <v>208</v>
      </c>
      <c r="N56" s="10">
        <v>42933.041666666664</v>
      </c>
      <c r="O56">
        <v>0</v>
      </c>
    </row>
    <row r="57" spans="1:15" ht="20.100000000000001" customHeight="1" x14ac:dyDescent="0.4">
      <c r="A57" s="10">
        <v>42933.125</v>
      </c>
      <c r="B57">
        <v>0</v>
      </c>
      <c r="C57" s="5">
        <f t="shared" si="0"/>
        <v>139</v>
      </c>
      <c r="F57" s="17"/>
      <c r="G57" s="7" t="s">
        <v>4</v>
      </c>
      <c r="H57" s="7" t="s">
        <v>5</v>
      </c>
      <c r="N57" s="10">
        <v>42933.083333333336</v>
      </c>
      <c r="O57">
        <v>0</v>
      </c>
    </row>
    <row r="58" spans="1:15" ht="35.4" customHeight="1" x14ac:dyDescent="0.4">
      <c r="A58" s="10">
        <v>42933.166666666664</v>
      </c>
      <c r="B58">
        <v>0</v>
      </c>
      <c r="C58" s="5">
        <f t="shared" si="0"/>
        <v>139</v>
      </c>
      <c r="F58" s="14" t="s">
        <v>6</v>
      </c>
      <c r="G58" s="8">
        <v>19.5</v>
      </c>
      <c r="H58" s="8">
        <v>169</v>
      </c>
      <c r="N58" s="10">
        <v>42933.125</v>
      </c>
      <c r="O58">
        <v>0</v>
      </c>
    </row>
    <row r="59" spans="1:15" ht="20.100000000000001" customHeight="1" x14ac:dyDescent="0.4">
      <c r="A59" s="10">
        <v>42933.208333333336</v>
      </c>
      <c r="B59">
        <v>0</v>
      </c>
      <c r="C59" s="5">
        <f t="shared" si="0"/>
        <v>139</v>
      </c>
      <c r="F59" s="17"/>
      <c r="G59" s="7" t="s">
        <v>4</v>
      </c>
      <c r="H59" s="7" t="s">
        <v>4</v>
      </c>
      <c r="N59" s="10">
        <v>42933.166666666664</v>
      </c>
      <c r="O59">
        <v>0</v>
      </c>
    </row>
    <row r="60" spans="1:15" ht="35.4" customHeight="1" x14ac:dyDescent="0.4">
      <c r="A60" s="10">
        <v>42933.25</v>
      </c>
      <c r="B60">
        <v>0</v>
      </c>
      <c r="C60" s="5">
        <f t="shared" si="0"/>
        <v>139</v>
      </c>
      <c r="F60" s="14" t="s">
        <v>7</v>
      </c>
      <c r="G60" s="8">
        <v>25.5</v>
      </c>
      <c r="H60" s="8">
        <v>201.5</v>
      </c>
      <c r="N60" s="10">
        <v>42933.208333333336</v>
      </c>
      <c r="O60">
        <v>0</v>
      </c>
    </row>
    <row r="61" spans="1:15" ht="20.100000000000001" customHeight="1" x14ac:dyDescent="0.4">
      <c r="A61" s="10">
        <v>42933.291666666664</v>
      </c>
      <c r="B61">
        <v>0</v>
      </c>
      <c r="C61" s="5">
        <f t="shared" si="0"/>
        <v>139</v>
      </c>
      <c r="F61" s="17"/>
      <c r="G61" s="7" t="s">
        <v>4</v>
      </c>
      <c r="H61" s="7" t="s">
        <v>8</v>
      </c>
      <c r="N61" s="10">
        <v>42933.25</v>
      </c>
      <c r="O61">
        <v>0</v>
      </c>
    </row>
    <row r="62" spans="1:15" ht="35.4" customHeight="1" x14ac:dyDescent="0.4">
      <c r="A62" s="10">
        <v>42933.333333333336</v>
      </c>
      <c r="B62">
        <v>0</v>
      </c>
      <c r="C62" s="5">
        <f t="shared" si="0"/>
        <v>139</v>
      </c>
      <c r="F62" s="14" t="s">
        <v>9</v>
      </c>
      <c r="G62" s="8">
        <v>12.5</v>
      </c>
      <c r="H62" s="8">
        <v>117.5</v>
      </c>
      <c r="N62" s="10">
        <v>42933.291666666664</v>
      </c>
      <c r="O62">
        <v>0</v>
      </c>
    </row>
    <row r="63" spans="1:15" ht="20.100000000000001" customHeight="1" thickBot="1" x14ac:dyDescent="0.45">
      <c r="A63" s="10">
        <v>42933.375</v>
      </c>
      <c r="B63">
        <v>0</v>
      </c>
      <c r="C63" s="5">
        <f t="shared" si="0"/>
        <v>139</v>
      </c>
      <c r="F63" s="15"/>
      <c r="G63" s="9" t="s">
        <v>4</v>
      </c>
      <c r="H63" s="9" t="s">
        <v>4</v>
      </c>
      <c r="N63" s="10">
        <v>42933.333333333336</v>
      </c>
      <c r="O63">
        <v>0</v>
      </c>
    </row>
    <row r="64" spans="1:15" ht="20.100000000000001" customHeight="1" thickTop="1" x14ac:dyDescent="0.4">
      <c r="N64" s="10">
        <v>42933.375</v>
      </c>
      <c r="O64">
        <v>0</v>
      </c>
    </row>
  </sheetData>
  <mergeCells count="7">
    <mergeCell ref="F62:F63"/>
    <mergeCell ref="F56:F57"/>
    <mergeCell ref="F58:F59"/>
    <mergeCell ref="F60:F61"/>
    <mergeCell ref="A2:A3"/>
    <mergeCell ref="B2:C2"/>
    <mergeCell ref="B3:C3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F8DF-EF8A-4C71-AF9B-C2A7F10EBA48}">
  <sheetPr codeName="Sheet2"/>
  <dimension ref="A1:AE66"/>
  <sheetViews>
    <sheetView zoomScale="85" zoomScaleNormal="85" workbookViewId="0">
      <selection activeCell="S41" sqref="S41"/>
    </sheetView>
  </sheetViews>
  <sheetFormatPr defaultRowHeight="20.100000000000001" customHeight="1" x14ac:dyDescent="0.4"/>
  <cols>
    <col min="1" max="1" width="21.3984375" style="1" bestFit="1" customWidth="1"/>
    <col min="2" max="3" width="7.59765625" style="1" customWidth="1"/>
    <col min="4" max="17" width="9" style="1"/>
    <col min="18" max="18" width="10.5" style="1" bestFit="1" customWidth="1"/>
    <col min="19" max="256" width="9" style="1"/>
    <col min="257" max="257" width="12.09765625" style="1" customWidth="1"/>
    <col min="258" max="259" width="7.59765625" style="1" customWidth="1"/>
    <col min="260" max="512" width="9" style="1"/>
    <col min="513" max="513" width="12.09765625" style="1" customWidth="1"/>
    <col min="514" max="515" width="7.59765625" style="1" customWidth="1"/>
    <col min="516" max="768" width="9" style="1"/>
    <col min="769" max="769" width="12.09765625" style="1" customWidth="1"/>
    <col min="770" max="771" width="7.59765625" style="1" customWidth="1"/>
    <col min="772" max="1024" width="9" style="1"/>
    <col min="1025" max="1025" width="12.09765625" style="1" customWidth="1"/>
    <col min="1026" max="1027" width="7.59765625" style="1" customWidth="1"/>
    <col min="1028" max="1280" width="9" style="1"/>
    <col min="1281" max="1281" width="12.09765625" style="1" customWidth="1"/>
    <col min="1282" max="1283" width="7.59765625" style="1" customWidth="1"/>
    <col min="1284" max="1536" width="9" style="1"/>
    <col min="1537" max="1537" width="12.09765625" style="1" customWidth="1"/>
    <col min="1538" max="1539" width="7.59765625" style="1" customWidth="1"/>
    <col min="1540" max="1792" width="9" style="1"/>
    <col min="1793" max="1793" width="12.09765625" style="1" customWidth="1"/>
    <col min="1794" max="1795" width="7.59765625" style="1" customWidth="1"/>
    <col min="1796" max="2048" width="9" style="1"/>
    <col min="2049" max="2049" width="12.09765625" style="1" customWidth="1"/>
    <col min="2050" max="2051" width="7.59765625" style="1" customWidth="1"/>
    <col min="2052" max="2304" width="9" style="1"/>
    <col min="2305" max="2305" width="12.09765625" style="1" customWidth="1"/>
    <col min="2306" max="2307" width="7.59765625" style="1" customWidth="1"/>
    <col min="2308" max="2560" width="9" style="1"/>
    <col min="2561" max="2561" width="12.09765625" style="1" customWidth="1"/>
    <col min="2562" max="2563" width="7.59765625" style="1" customWidth="1"/>
    <col min="2564" max="2816" width="9" style="1"/>
    <col min="2817" max="2817" width="12.09765625" style="1" customWidth="1"/>
    <col min="2818" max="2819" width="7.59765625" style="1" customWidth="1"/>
    <col min="2820" max="3072" width="9" style="1"/>
    <col min="3073" max="3073" width="12.09765625" style="1" customWidth="1"/>
    <col min="3074" max="3075" width="7.59765625" style="1" customWidth="1"/>
    <col min="3076" max="3328" width="9" style="1"/>
    <col min="3329" max="3329" width="12.09765625" style="1" customWidth="1"/>
    <col min="3330" max="3331" width="7.59765625" style="1" customWidth="1"/>
    <col min="3332" max="3584" width="9" style="1"/>
    <col min="3585" max="3585" width="12.09765625" style="1" customWidth="1"/>
    <col min="3586" max="3587" width="7.59765625" style="1" customWidth="1"/>
    <col min="3588" max="3840" width="9" style="1"/>
    <col min="3841" max="3841" width="12.09765625" style="1" customWidth="1"/>
    <col min="3842" max="3843" width="7.59765625" style="1" customWidth="1"/>
    <col min="3844" max="4096" width="9" style="1"/>
    <col min="4097" max="4097" width="12.09765625" style="1" customWidth="1"/>
    <col min="4098" max="4099" width="7.59765625" style="1" customWidth="1"/>
    <col min="4100" max="4352" width="9" style="1"/>
    <col min="4353" max="4353" width="12.09765625" style="1" customWidth="1"/>
    <col min="4354" max="4355" width="7.59765625" style="1" customWidth="1"/>
    <col min="4356" max="4608" width="9" style="1"/>
    <col min="4609" max="4609" width="12.09765625" style="1" customWidth="1"/>
    <col min="4610" max="4611" width="7.59765625" style="1" customWidth="1"/>
    <col min="4612" max="4864" width="9" style="1"/>
    <col min="4865" max="4865" width="12.09765625" style="1" customWidth="1"/>
    <col min="4866" max="4867" width="7.59765625" style="1" customWidth="1"/>
    <col min="4868" max="5120" width="9" style="1"/>
    <col min="5121" max="5121" width="12.09765625" style="1" customWidth="1"/>
    <col min="5122" max="5123" width="7.59765625" style="1" customWidth="1"/>
    <col min="5124" max="5376" width="9" style="1"/>
    <col min="5377" max="5377" width="12.09765625" style="1" customWidth="1"/>
    <col min="5378" max="5379" width="7.59765625" style="1" customWidth="1"/>
    <col min="5380" max="5632" width="9" style="1"/>
    <col min="5633" max="5633" width="12.09765625" style="1" customWidth="1"/>
    <col min="5634" max="5635" width="7.59765625" style="1" customWidth="1"/>
    <col min="5636" max="5888" width="9" style="1"/>
    <col min="5889" max="5889" width="12.09765625" style="1" customWidth="1"/>
    <col min="5890" max="5891" width="7.59765625" style="1" customWidth="1"/>
    <col min="5892" max="6144" width="9" style="1"/>
    <col min="6145" max="6145" width="12.09765625" style="1" customWidth="1"/>
    <col min="6146" max="6147" width="7.59765625" style="1" customWidth="1"/>
    <col min="6148" max="6400" width="9" style="1"/>
    <col min="6401" max="6401" width="12.09765625" style="1" customWidth="1"/>
    <col min="6402" max="6403" width="7.59765625" style="1" customWidth="1"/>
    <col min="6404" max="6656" width="9" style="1"/>
    <col min="6657" max="6657" width="12.09765625" style="1" customWidth="1"/>
    <col min="6658" max="6659" width="7.59765625" style="1" customWidth="1"/>
    <col min="6660" max="6912" width="9" style="1"/>
    <col min="6913" max="6913" width="12.09765625" style="1" customWidth="1"/>
    <col min="6914" max="6915" width="7.59765625" style="1" customWidth="1"/>
    <col min="6916" max="7168" width="9" style="1"/>
    <col min="7169" max="7169" width="12.09765625" style="1" customWidth="1"/>
    <col min="7170" max="7171" width="7.59765625" style="1" customWidth="1"/>
    <col min="7172" max="7424" width="9" style="1"/>
    <col min="7425" max="7425" width="12.09765625" style="1" customWidth="1"/>
    <col min="7426" max="7427" width="7.59765625" style="1" customWidth="1"/>
    <col min="7428" max="7680" width="9" style="1"/>
    <col min="7681" max="7681" width="12.09765625" style="1" customWidth="1"/>
    <col min="7682" max="7683" width="7.59765625" style="1" customWidth="1"/>
    <col min="7684" max="7936" width="9" style="1"/>
    <col min="7937" max="7937" width="12.09765625" style="1" customWidth="1"/>
    <col min="7938" max="7939" width="7.59765625" style="1" customWidth="1"/>
    <col min="7940" max="8192" width="9" style="1"/>
    <col min="8193" max="8193" width="12.09765625" style="1" customWidth="1"/>
    <col min="8194" max="8195" width="7.59765625" style="1" customWidth="1"/>
    <col min="8196" max="8448" width="9" style="1"/>
    <col min="8449" max="8449" width="12.09765625" style="1" customWidth="1"/>
    <col min="8450" max="8451" width="7.59765625" style="1" customWidth="1"/>
    <col min="8452" max="8704" width="9" style="1"/>
    <col min="8705" max="8705" width="12.09765625" style="1" customWidth="1"/>
    <col min="8706" max="8707" width="7.59765625" style="1" customWidth="1"/>
    <col min="8708" max="8960" width="9" style="1"/>
    <col min="8961" max="8961" width="12.09765625" style="1" customWidth="1"/>
    <col min="8962" max="8963" width="7.59765625" style="1" customWidth="1"/>
    <col min="8964" max="9216" width="9" style="1"/>
    <col min="9217" max="9217" width="12.09765625" style="1" customWidth="1"/>
    <col min="9218" max="9219" width="7.59765625" style="1" customWidth="1"/>
    <col min="9220" max="9472" width="9" style="1"/>
    <col min="9473" max="9473" width="12.09765625" style="1" customWidth="1"/>
    <col min="9474" max="9475" width="7.59765625" style="1" customWidth="1"/>
    <col min="9476" max="9728" width="9" style="1"/>
    <col min="9729" max="9729" width="12.09765625" style="1" customWidth="1"/>
    <col min="9730" max="9731" width="7.59765625" style="1" customWidth="1"/>
    <col min="9732" max="9984" width="9" style="1"/>
    <col min="9985" max="9985" width="12.09765625" style="1" customWidth="1"/>
    <col min="9986" max="9987" width="7.59765625" style="1" customWidth="1"/>
    <col min="9988" max="10240" width="9" style="1"/>
    <col min="10241" max="10241" width="12.09765625" style="1" customWidth="1"/>
    <col min="10242" max="10243" width="7.59765625" style="1" customWidth="1"/>
    <col min="10244" max="10496" width="9" style="1"/>
    <col min="10497" max="10497" width="12.09765625" style="1" customWidth="1"/>
    <col min="10498" max="10499" width="7.59765625" style="1" customWidth="1"/>
    <col min="10500" max="10752" width="9" style="1"/>
    <col min="10753" max="10753" width="12.09765625" style="1" customWidth="1"/>
    <col min="10754" max="10755" width="7.59765625" style="1" customWidth="1"/>
    <col min="10756" max="11008" width="9" style="1"/>
    <col min="11009" max="11009" width="12.09765625" style="1" customWidth="1"/>
    <col min="11010" max="11011" width="7.59765625" style="1" customWidth="1"/>
    <col min="11012" max="11264" width="9" style="1"/>
    <col min="11265" max="11265" width="12.09765625" style="1" customWidth="1"/>
    <col min="11266" max="11267" width="7.59765625" style="1" customWidth="1"/>
    <col min="11268" max="11520" width="9" style="1"/>
    <col min="11521" max="11521" width="12.09765625" style="1" customWidth="1"/>
    <col min="11522" max="11523" width="7.59765625" style="1" customWidth="1"/>
    <col min="11524" max="11776" width="9" style="1"/>
    <col min="11777" max="11777" width="12.09765625" style="1" customWidth="1"/>
    <col min="11778" max="11779" width="7.59765625" style="1" customWidth="1"/>
    <col min="11780" max="12032" width="9" style="1"/>
    <col min="12033" max="12033" width="12.09765625" style="1" customWidth="1"/>
    <col min="12034" max="12035" width="7.59765625" style="1" customWidth="1"/>
    <col min="12036" max="12288" width="9" style="1"/>
    <col min="12289" max="12289" width="12.09765625" style="1" customWidth="1"/>
    <col min="12290" max="12291" width="7.59765625" style="1" customWidth="1"/>
    <col min="12292" max="12544" width="9" style="1"/>
    <col min="12545" max="12545" width="12.09765625" style="1" customWidth="1"/>
    <col min="12546" max="12547" width="7.59765625" style="1" customWidth="1"/>
    <col min="12548" max="12800" width="9" style="1"/>
    <col min="12801" max="12801" width="12.09765625" style="1" customWidth="1"/>
    <col min="12802" max="12803" width="7.59765625" style="1" customWidth="1"/>
    <col min="12804" max="13056" width="9" style="1"/>
    <col min="13057" max="13057" width="12.09765625" style="1" customWidth="1"/>
    <col min="13058" max="13059" width="7.59765625" style="1" customWidth="1"/>
    <col min="13060" max="13312" width="9" style="1"/>
    <col min="13313" max="13313" width="12.09765625" style="1" customWidth="1"/>
    <col min="13314" max="13315" width="7.59765625" style="1" customWidth="1"/>
    <col min="13316" max="13568" width="9" style="1"/>
    <col min="13569" max="13569" width="12.09765625" style="1" customWidth="1"/>
    <col min="13570" max="13571" width="7.59765625" style="1" customWidth="1"/>
    <col min="13572" max="13824" width="9" style="1"/>
    <col min="13825" max="13825" width="12.09765625" style="1" customWidth="1"/>
    <col min="13826" max="13827" width="7.59765625" style="1" customWidth="1"/>
    <col min="13828" max="14080" width="9" style="1"/>
    <col min="14081" max="14081" width="12.09765625" style="1" customWidth="1"/>
    <col min="14082" max="14083" width="7.59765625" style="1" customWidth="1"/>
    <col min="14084" max="14336" width="9" style="1"/>
    <col min="14337" max="14337" width="12.09765625" style="1" customWidth="1"/>
    <col min="14338" max="14339" width="7.59765625" style="1" customWidth="1"/>
    <col min="14340" max="14592" width="9" style="1"/>
    <col min="14593" max="14593" width="12.09765625" style="1" customWidth="1"/>
    <col min="14594" max="14595" width="7.59765625" style="1" customWidth="1"/>
    <col min="14596" max="14848" width="9" style="1"/>
    <col min="14849" max="14849" width="12.09765625" style="1" customWidth="1"/>
    <col min="14850" max="14851" width="7.59765625" style="1" customWidth="1"/>
    <col min="14852" max="15104" width="9" style="1"/>
    <col min="15105" max="15105" width="12.09765625" style="1" customWidth="1"/>
    <col min="15106" max="15107" width="7.59765625" style="1" customWidth="1"/>
    <col min="15108" max="15360" width="9" style="1"/>
    <col min="15361" max="15361" width="12.09765625" style="1" customWidth="1"/>
    <col min="15362" max="15363" width="7.59765625" style="1" customWidth="1"/>
    <col min="15364" max="15616" width="9" style="1"/>
    <col min="15617" max="15617" width="12.09765625" style="1" customWidth="1"/>
    <col min="15618" max="15619" width="7.59765625" style="1" customWidth="1"/>
    <col min="15620" max="15872" width="9" style="1"/>
    <col min="15873" max="15873" width="12.09765625" style="1" customWidth="1"/>
    <col min="15874" max="15875" width="7.59765625" style="1" customWidth="1"/>
    <col min="15876" max="16128" width="9" style="1"/>
    <col min="16129" max="16129" width="12.09765625" style="1" customWidth="1"/>
    <col min="16130" max="16131" width="7.59765625" style="1" customWidth="1"/>
    <col min="16132" max="16384" width="9" style="1"/>
  </cols>
  <sheetData>
    <row r="1" spans="1:31" ht="20.100000000000001" customHeight="1" x14ac:dyDescent="0.4">
      <c r="A1" s="1" t="s">
        <v>10</v>
      </c>
      <c r="P1" s="1" t="s">
        <v>24</v>
      </c>
      <c r="Q1" s="1">
        <f>MAX(Q4:AE9)</f>
        <v>19.5</v>
      </c>
      <c r="S1" s="1" t="s">
        <v>25</v>
      </c>
      <c r="T1" s="1">
        <f>MAX(Q41:S41)</f>
        <v>140</v>
      </c>
      <c r="U1" s="1" t="s">
        <v>26</v>
      </c>
      <c r="V1" s="1">
        <f>SUM(Q4:AE9)</f>
        <v>227.5</v>
      </c>
    </row>
    <row r="2" spans="1:31" ht="20.100000000000001" customHeight="1" x14ac:dyDescent="0.4">
      <c r="A2" s="11" t="s">
        <v>0</v>
      </c>
      <c r="B2" s="13" t="s">
        <v>2</v>
      </c>
      <c r="C2" s="13"/>
      <c r="O2" s="1" t="s">
        <v>13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  <c r="AC2" s="1">
        <v>10</v>
      </c>
      <c r="AD2" s="1">
        <v>11</v>
      </c>
      <c r="AE2" s="1">
        <v>12</v>
      </c>
    </row>
    <row r="3" spans="1:31" ht="20.100000000000001" customHeight="1" thickBot="1" x14ac:dyDescent="0.45">
      <c r="A3" s="12"/>
      <c r="B3" s="13" t="s">
        <v>14</v>
      </c>
      <c r="C3" s="13"/>
      <c r="O3" s="1" t="s">
        <v>14</v>
      </c>
      <c r="Q3" s="1">
        <v>13</v>
      </c>
      <c r="R3" s="1">
        <v>14</v>
      </c>
      <c r="S3" s="1">
        <v>15</v>
      </c>
      <c r="T3" s="1">
        <v>16</v>
      </c>
      <c r="U3" s="1">
        <v>17</v>
      </c>
      <c r="V3" s="1">
        <v>18</v>
      </c>
      <c r="W3" s="1">
        <v>19</v>
      </c>
      <c r="X3" s="1">
        <v>20</v>
      </c>
      <c r="Y3" s="1">
        <v>21</v>
      </c>
      <c r="Z3" s="1">
        <v>22</v>
      </c>
      <c r="AA3" s="1">
        <v>23</v>
      </c>
      <c r="AB3" s="1">
        <v>24</v>
      </c>
      <c r="AC3" s="1">
        <v>22</v>
      </c>
      <c r="AD3" s="1">
        <v>23</v>
      </c>
      <c r="AE3" s="1">
        <v>24</v>
      </c>
    </row>
    <row r="4" spans="1:31" ht="20.100000000000001" customHeight="1" thickTop="1" x14ac:dyDescent="0.4">
      <c r="A4" s="10">
        <v>44024.625</v>
      </c>
      <c r="B4">
        <v>1</v>
      </c>
      <c r="C4" s="4">
        <f>B4</f>
        <v>1</v>
      </c>
      <c r="D4" s="1">
        <f>B4</f>
        <v>1</v>
      </c>
      <c r="O4" s="1" t="s">
        <v>18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ht="20.100000000000001" customHeight="1" x14ac:dyDescent="0.4">
      <c r="A5" s="10">
        <v>44024.666666666664</v>
      </c>
      <c r="B5">
        <v>0.5</v>
      </c>
      <c r="C5" s="5">
        <f>C4+B5</f>
        <v>1.5</v>
      </c>
      <c r="D5" s="1">
        <f>SUM(B4:B5)</f>
        <v>1.5</v>
      </c>
      <c r="Q5">
        <v>0</v>
      </c>
      <c r="R5">
        <v>0</v>
      </c>
      <c r="S5">
        <v>1</v>
      </c>
      <c r="T5">
        <v>0.5</v>
      </c>
      <c r="U5">
        <v>2</v>
      </c>
      <c r="V5">
        <v>2</v>
      </c>
      <c r="W5">
        <v>0.5</v>
      </c>
      <c r="X5">
        <v>1.5</v>
      </c>
      <c r="Y5">
        <v>7.5</v>
      </c>
      <c r="Z5">
        <v>6.5</v>
      </c>
      <c r="AA5">
        <v>4</v>
      </c>
      <c r="AB5">
        <v>6.5</v>
      </c>
      <c r="AC5">
        <v>6.5</v>
      </c>
      <c r="AD5">
        <v>4</v>
      </c>
      <c r="AE5">
        <v>6.5</v>
      </c>
    </row>
    <row r="6" spans="1:31" ht="20.100000000000001" customHeight="1" x14ac:dyDescent="0.4">
      <c r="A6" s="10">
        <v>44024.708333333336</v>
      </c>
      <c r="B6">
        <v>2</v>
      </c>
      <c r="C6" s="5">
        <f t="shared" ref="C6:C60" si="0">C5+B6</f>
        <v>3.5</v>
      </c>
      <c r="D6" s="1">
        <f>SUM(B4:B6)</f>
        <v>3.5</v>
      </c>
      <c r="O6" s="1" t="s">
        <v>19</v>
      </c>
      <c r="Q6">
        <v>7.5</v>
      </c>
      <c r="R6">
        <v>9.5</v>
      </c>
      <c r="S6">
        <v>12.5</v>
      </c>
      <c r="T6">
        <v>11.5</v>
      </c>
      <c r="U6">
        <v>13.5</v>
      </c>
      <c r="V6">
        <v>14</v>
      </c>
      <c r="W6">
        <v>19.5</v>
      </c>
      <c r="X6">
        <v>11</v>
      </c>
      <c r="Y6">
        <v>9.5</v>
      </c>
      <c r="Z6">
        <v>8.5</v>
      </c>
      <c r="AA6">
        <v>8.5</v>
      </c>
      <c r="AB6">
        <v>7</v>
      </c>
      <c r="AC6">
        <v>8.5</v>
      </c>
      <c r="AD6">
        <v>8.5</v>
      </c>
      <c r="AE6">
        <v>7</v>
      </c>
    </row>
    <row r="7" spans="1:31" ht="20.100000000000001" customHeight="1" x14ac:dyDescent="0.4">
      <c r="A7" s="10">
        <v>44024.75</v>
      </c>
      <c r="B7">
        <v>2</v>
      </c>
      <c r="C7" s="5">
        <f t="shared" si="0"/>
        <v>5.5</v>
      </c>
      <c r="Q7">
        <v>2</v>
      </c>
      <c r="R7">
        <v>2.5</v>
      </c>
      <c r="S7">
        <v>1</v>
      </c>
      <c r="T7">
        <v>0</v>
      </c>
      <c r="U7">
        <v>0</v>
      </c>
      <c r="V7">
        <v>0.5</v>
      </c>
      <c r="W7">
        <v>0</v>
      </c>
      <c r="X7">
        <v>0</v>
      </c>
      <c r="Y7">
        <v>0.5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</row>
    <row r="8" spans="1:31" ht="20.100000000000001" customHeight="1" x14ac:dyDescent="0.4">
      <c r="A8" s="10">
        <v>44024.791666666664</v>
      </c>
      <c r="B8">
        <v>0.5</v>
      </c>
      <c r="C8" s="5">
        <f t="shared" si="0"/>
        <v>6</v>
      </c>
      <c r="O8" s="1" t="s">
        <v>20</v>
      </c>
      <c r="Q8">
        <v>1.5</v>
      </c>
      <c r="R8">
        <v>1.5</v>
      </c>
      <c r="S8">
        <v>1</v>
      </c>
      <c r="T8">
        <v>2</v>
      </c>
      <c r="U8">
        <v>2.5</v>
      </c>
      <c r="V8">
        <v>2</v>
      </c>
      <c r="W8">
        <v>1</v>
      </c>
      <c r="X8">
        <v>0</v>
      </c>
      <c r="Y8">
        <v>0.5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ht="20.100000000000001" customHeight="1" x14ac:dyDescent="0.4">
      <c r="A9" s="10">
        <v>44024.833333333336</v>
      </c>
      <c r="B9">
        <v>1.5</v>
      </c>
      <c r="C9" s="5">
        <f t="shared" si="0"/>
        <v>7.5</v>
      </c>
      <c r="Q9">
        <v>0</v>
      </c>
      <c r="R9">
        <v>0.5</v>
      </c>
      <c r="S9">
        <v>0.5</v>
      </c>
      <c r="T9">
        <v>0</v>
      </c>
      <c r="U9">
        <v>0</v>
      </c>
      <c r="V9">
        <v>0</v>
      </c>
      <c r="W9">
        <v>0.5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ht="20.100000000000001" customHeight="1" x14ac:dyDescent="0.4">
      <c r="A10" s="10">
        <v>44024.875</v>
      </c>
      <c r="B10">
        <v>7.5</v>
      </c>
      <c r="C10" s="5">
        <f t="shared" si="0"/>
        <v>15</v>
      </c>
    </row>
    <row r="11" spans="1:31" ht="20.100000000000001" customHeight="1" x14ac:dyDescent="0.4">
      <c r="A11" s="10">
        <v>44024.916666666664</v>
      </c>
      <c r="B11">
        <v>6.5</v>
      </c>
      <c r="C11" s="5">
        <f t="shared" si="0"/>
        <v>21.5</v>
      </c>
    </row>
    <row r="12" spans="1:31" ht="20.100000000000001" customHeight="1" x14ac:dyDescent="0.4">
      <c r="A12" s="10">
        <v>44024.958333333336</v>
      </c>
      <c r="B12">
        <v>4</v>
      </c>
      <c r="C12" s="5">
        <f t="shared" si="0"/>
        <v>25.5</v>
      </c>
    </row>
    <row r="13" spans="1:31" ht="20.100000000000001" customHeight="1" x14ac:dyDescent="0.4">
      <c r="A13" s="10">
        <v>44025</v>
      </c>
      <c r="B13">
        <v>6.5</v>
      </c>
      <c r="C13" s="5">
        <f t="shared" si="0"/>
        <v>32</v>
      </c>
    </row>
    <row r="14" spans="1:31" ht="20.100000000000001" customHeight="1" x14ac:dyDescent="0.4">
      <c r="A14" s="10">
        <v>44025.041666666664</v>
      </c>
      <c r="B14">
        <v>7.5</v>
      </c>
      <c r="C14" s="5">
        <f t="shared" si="0"/>
        <v>39.5</v>
      </c>
    </row>
    <row r="15" spans="1:31" ht="20.100000000000001" customHeight="1" x14ac:dyDescent="0.4">
      <c r="A15" s="10">
        <v>44025.083333333336</v>
      </c>
      <c r="B15">
        <v>9.5</v>
      </c>
      <c r="C15" s="5">
        <f t="shared" si="0"/>
        <v>49</v>
      </c>
    </row>
    <row r="16" spans="1:31" ht="20.100000000000001" customHeight="1" x14ac:dyDescent="0.4">
      <c r="A16" s="10">
        <v>44025.125</v>
      </c>
      <c r="B16">
        <v>12.5</v>
      </c>
      <c r="C16" s="5">
        <f t="shared" si="0"/>
        <v>61.5</v>
      </c>
      <c r="Q16" s="1" t="s">
        <v>18</v>
      </c>
      <c r="R16" s="1" t="s">
        <v>19</v>
      </c>
      <c r="S16" s="1" t="s">
        <v>20</v>
      </c>
    </row>
    <row r="17" spans="1:19" ht="20.100000000000001" customHeight="1" x14ac:dyDescent="0.4">
      <c r="A17" s="10">
        <v>44025.166666666664</v>
      </c>
      <c r="B17">
        <v>11.5</v>
      </c>
      <c r="C17" s="5">
        <f t="shared" si="0"/>
        <v>73</v>
      </c>
      <c r="Q17">
        <v>0</v>
      </c>
      <c r="R17">
        <v>7.5</v>
      </c>
      <c r="S17">
        <v>1.5</v>
      </c>
    </row>
    <row r="18" spans="1:19" ht="20.100000000000001" customHeight="1" x14ac:dyDescent="0.4">
      <c r="A18" s="10">
        <v>44025.208333333336</v>
      </c>
      <c r="B18">
        <v>13.5</v>
      </c>
      <c r="C18" s="5">
        <f t="shared" si="0"/>
        <v>86.5</v>
      </c>
      <c r="Q18">
        <v>0</v>
      </c>
      <c r="R18">
        <v>9.5</v>
      </c>
      <c r="S18">
        <v>1.5</v>
      </c>
    </row>
    <row r="19" spans="1:19" ht="20.100000000000001" customHeight="1" x14ac:dyDescent="0.4">
      <c r="A19" s="10">
        <v>44025.25</v>
      </c>
      <c r="B19">
        <v>14</v>
      </c>
      <c r="C19" s="5">
        <f t="shared" si="0"/>
        <v>100.5</v>
      </c>
      <c r="Q19">
        <v>0</v>
      </c>
      <c r="R19">
        <v>12.5</v>
      </c>
      <c r="S19">
        <v>1</v>
      </c>
    </row>
    <row r="20" spans="1:19" ht="20.100000000000001" customHeight="1" x14ac:dyDescent="0.4">
      <c r="A20" s="10">
        <v>44025.291666666664</v>
      </c>
      <c r="B20">
        <v>19.5</v>
      </c>
      <c r="C20" s="5">
        <f t="shared" si="0"/>
        <v>120</v>
      </c>
      <c r="Q20">
        <v>0</v>
      </c>
      <c r="R20">
        <v>11.5</v>
      </c>
      <c r="S20">
        <v>2</v>
      </c>
    </row>
    <row r="21" spans="1:19" ht="20.100000000000001" customHeight="1" x14ac:dyDescent="0.4">
      <c r="A21" s="10">
        <v>44025.333333333336</v>
      </c>
      <c r="B21">
        <v>11</v>
      </c>
      <c r="C21" s="5">
        <f t="shared" si="0"/>
        <v>131</v>
      </c>
      <c r="Q21">
        <v>0</v>
      </c>
      <c r="R21">
        <v>13.5</v>
      </c>
      <c r="S21">
        <v>2.5</v>
      </c>
    </row>
    <row r="22" spans="1:19" ht="20.100000000000001" customHeight="1" x14ac:dyDescent="0.4">
      <c r="A22" s="10">
        <v>44025.375</v>
      </c>
      <c r="B22">
        <v>9.5</v>
      </c>
      <c r="C22" s="5">
        <f t="shared" si="0"/>
        <v>140.5</v>
      </c>
      <c r="Q22">
        <v>0</v>
      </c>
      <c r="R22">
        <v>14</v>
      </c>
      <c r="S22">
        <v>2</v>
      </c>
    </row>
    <row r="23" spans="1:19" ht="20.100000000000001" customHeight="1" x14ac:dyDescent="0.4">
      <c r="A23" s="10">
        <v>44025.416666666664</v>
      </c>
      <c r="B23">
        <v>8.5</v>
      </c>
      <c r="C23" s="5">
        <f t="shared" si="0"/>
        <v>149</v>
      </c>
      <c r="Q23">
        <v>0</v>
      </c>
      <c r="R23">
        <v>19.5</v>
      </c>
      <c r="S23">
        <v>1</v>
      </c>
    </row>
    <row r="24" spans="1:19" ht="20.100000000000001" customHeight="1" x14ac:dyDescent="0.4">
      <c r="A24" s="10">
        <v>44025.458333333336</v>
      </c>
      <c r="B24">
        <v>8.5</v>
      </c>
      <c r="C24" s="5">
        <f t="shared" si="0"/>
        <v>157.5</v>
      </c>
      <c r="Q24">
        <v>0</v>
      </c>
      <c r="R24">
        <v>11</v>
      </c>
      <c r="S24">
        <v>0</v>
      </c>
    </row>
    <row r="25" spans="1:19" ht="20.100000000000001" customHeight="1" x14ac:dyDescent="0.4">
      <c r="A25" s="10">
        <v>44025.5</v>
      </c>
      <c r="B25">
        <v>7</v>
      </c>
      <c r="C25" s="5">
        <f t="shared" si="0"/>
        <v>164.5</v>
      </c>
      <c r="Q25">
        <v>0</v>
      </c>
      <c r="R25">
        <v>9.5</v>
      </c>
      <c r="S25">
        <v>0.5</v>
      </c>
    </row>
    <row r="26" spans="1:19" ht="20.100000000000001" customHeight="1" x14ac:dyDescent="0.4">
      <c r="A26" s="10">
        <v>44025.541666666664</v>
      </c>
      <c r="B26">
        <v>2</v>
      </c>
      <c r="C26" s="5">
        <f t="shared" si="0"/>
        <v>166.5</v>
      </c>
      <c r="Q26">
        <v>0</v>
      </c>
      <c r="R26">
        <v>8.5</v>
      </c>
      <c r="S26">
        <v>0</v>
      </c>
    </row>
    <row r="27" spans="1:19" ht="20.100000000000001" customHeight="1" x14ac:dyDescent="0.4">
      <c r="A27" s="10">
        <v>44025.583333333336</v>
      </c>
      <c r="B27">
        <v>2.5</v>
      </c>
      <c r="C27" s="5">
        <f t="shared" si="0"/>
        <v>169</v>
      </c>
      <c r="Q27">
        <v>0</v>
      </c>
      <c r="R27">
        <v>8.5</v>
      </c>
      <c r="S27">
        <v>0</v>
      </c>
    </row>
    <row r="28" spans="1:19" ht="20.100000000000001" customHeight="1" x14ac:dyDescent="0.4">
      <c r="A28" s="10">
        <v>44025.625</v>
      </c>
      <c r="B28">
        <v>1</v>
      </c>
      <c r="C28" s="5">
        <f t="shared" si="0"/>
        <v>170</v>
      </c>
      <c r="Q28">
        <v>0</v>
      </c>
      <c r="R28">
        <v>7</v>
      </c>
      <c r="S28">
        <v>0</v>
      </c>
    </row>
    <row r="29" spans="1:19" ht="20.100000000000001" customHeight="1" x14ac:dyDescent="0.4">
      <c r="A29" s="10">
        <v>44025.666666666664</v>
      </c>
      <c r="B29">
        <v>0</v>
      </c>
      <c r="C29" s="5">
        <f t="shared" si="0"/>
        <v>170</v>
      </c>
      <c r="Q29">
        <v>0</v>
      </c>
      <c r="R29">
        <v>2</v>
      </c>
      <c r="S29">
        <v>0</v>
      </c>
    </row>
    <row r="30" spans="1:19" ht="20.100000000000001" customHeight="1" x14ac:dyDescent="0.4">
      <c r="A30" s="10">
        <v>44025.708333333336</v>
      </c>
      <c r="B30">
        <v>0</v>
      </c>
      <c r="C30" s="5">
        <f t="shared" si="0"/>
        <v>170</v>
      </c>
      <c r="Q30">
        <v>0</v>
      </c>
      <c r="R30">
        <v>2.5</v>
      </c>
      <c r="S30">
        <v>0.5</v>
      </c>
    </row>
    <row r="31" spans="1:19" ht="20.100000000000001" customHeight="1" x14ac:dyDescent="0.4">
      <c r="A31" s="10">
        <v>44025.75</v>
      </c>
      <c r="B31">
        <v>0.5</v>
      </c>
      <c r="C31" s="5">
        <f t="shared" si="0"/>
        <v>170.5</v>
      </c>
      <c r="Q31">
        <v>1</v>
      </c>
      <c r="R31">
        <v>1</v>
      </c>
      <c r="S31">
        <v>0.5</v>
      </c>
    </row>
    <row r="32" spans="1:19" ht="20.100000000000001" customHeight="1" x14ac:dyDescent="0.4">
      <c r="A32" s="10">
        <v>44025.791666666664</v>
      </c>
      <c r="B32">
        <v>0</v>
      </c>
      <c r="C32" s="5">
        <f t="shared" si="0"/>
        <v>170.5</v>
      </c>
      <c r="Q32">
        <v>0.5</v>
      </c>
      <c r="R32">
        <v>0</v>
      </c>
      <c r="S32">
        <v>0</v>
      </c>
    </row>
    <row r="33" spans="1:19" ht="20.100000000000001" customHeight="1" x14ac:dyDescent="0.4">
      <c r="A33" s="10">
        <v>44025.833333333336</v>
      </c>
      <c r="B33">
        <v>0</v>
      </c>
      <c r="C33" s="5">
        <f t="shared" si="0"/>
        <v>170.5</v>
      </c>
      <c r="Q33">
        <v>2</v>
      </c>
      <c r="R33">
        <v>0</v>
      </c>
      <c r="S33">
        <v>0</v>
      </c>
    </row>
    <row r="34" spans="1:19" ht="20.100000000000001" customHeight="1" x14ac:dyDescent="0.4">
      <c r="A34" s="10">
        <v>44025.875</v>
      </c>
      <c r="B34">
        <v>0.5</v>
      </c>
      <c r="C34" s="5">
        <f t="shared" si="0"/>
        <v>171</v>
      </c>
      <c r="Q34">
        <v>2</v>
      </c>
      <c r="R34">
        <v>0.5</v>
      </c>
      <c r="S34">
        <v>0</v>
      </c>
    </row>
    <row r="35" spans="1:19" ht="20.100000000000001" customHeight="1" x14ac:dyDescent="0.4">
      <c r="A35" s="10">
        <v>44025.916666666664</v>
      </c>
      <c r="B35">
        <v>0</v>
      </c>
      <c r="C35" s="5">
        <f t="shared" si="0"/>
        <v>171</v>
      </c>
      <c r="Q35">
        <v>0.5</v>
      </c>
      <c r="R35">
        <v>0</v>
      </c>
      <c r="S35">
        <v>0.5</v>
      </c>
    </row>
    <row r="36" spans="1:19" ht="20.100000000000001" customHeight="1" x14ac:dyDescent="0.4">
      <c r="A36" s="10">
        <v>44025.958333333336</v>
      </c>
      <c r="B36">
        <v>0</v>
      </c>
      <c r="C36" s="5">
        <f t="shared" si="0"/>
        <v>171</v>
      </c>
      <c r="Q36">
        <v>1.5</v>
      </c>
      <c r="R36">
        <v>0</v>
      </c>
      <c r="S36">
        <v>0</v>
      </c>
    </row>
    <row r="37" spans="1:19" ht="20.100000000000001" customHeight="1" x14ac:dyDescent="0.4">
      <c r="A37" s="10">
        <v>44026</v>
      </c>
      <c r="B37">
        <v>1</v>
      </c>
      <c r="C37" s="5">
        <f t="shared" si="0"/>
        <v>172</v>
      </c>
      <c r="Q37">
        <v>7.5</v>
      </c>
      <c r="R37">
        <v>0.5</v>
      </c>
      <c r="S37">
        <v>0</v>
      </c>
    </row>
    <row r="38" spans="1:19" ht="20.100000000000001" customHeight="1" x14ac:dyDescent="0.4">
      <c r="A38" s="10">
        <v>44026.041666666664</v>
      </c>
      <c r="B38">
        <v>1.5</v>
      </c>
      <c r="C38" s="5">
        <f t="shared" si="0"/>
        <v>173.5</v>
      </c>
      <c r="Q38">
        <v>6.5</v>
      </c>
      <c r="R38">
        <v>0</v>
      </c>
      <c r="S38">
        <v>0</v>
      </c>
    </row>
    <row r="39" spans="1:19" ht="20.100000000000001" customHeight="1" x14ac:dyDescent="0.4">
      <c r="A39" s="10">
        <v>44026.083333333336</v>
      </c>
      <c r="B39">
        <v>1.5</v>
      </c>
      <c r="C39" s="5">
        <f t="shared" si="0"/>
        <v>175</v>
      </c>
      <c r="Q39">
        <v>4</v>
      </c>
      <c r="R39">
        <v>0</v>
      </c>
      <c r="S39">
        <v>0</v>
      </c>
    </row>
    <row r="40" spans="1:19" ht="20.100000000000001" customHeight="1" x14ac:dyDescent="0.4">
      <c r="A40" s="10">
        <v>44026.125</v>
      </c>
      <c r="B40">
        <v>1</v>
      </c>
      <c r="C40" s="5">
        <f t="shared" si="0"/>
        <v>176</v>
      </c>
      <c r="Q40">
        <v>6.5</v>
      </c>
      <c r="R40">
        <v>1</v>
      </c>
      <c r="S40">
        <v>0</v>
      </c>
    </row>
    <row r="41" spans="1:19" ht="20.100000000000001" customHeight="1" x14ac:dyDescent="0.4">
      <c r="A41" s="10">
        <v>44026.166666666664</v>
      </c>
      <c r="B41">
        <v>2</v>
      </c>
      <c r="C41" s="5">
        <f t="shared" si="0"/>
        <v>178</v>
      </c>
      <c r="P41" s="1" t="s">
        <v>27</v>
      </c>
      <c r="Q41">
        <f>SUM(Q17:Q40)</f>
        <v>32</v>
      </c>
      <c r="R41">
        <f>SUM(R17:R40)</f>
        <v>140</v>
      </c>
      <c r="S41">
        <f>SUM(S17:S40)</f>
        <v>13.5</v>
      </c>
    </row>
    <row r="42" spans="1:19" ht="20.100000000000001" customHeight="1" x14ac:dyDescent="0.4">
      <c r="A42" s="10">
        <v>44026.208333333336</v>
      </c>
      <c r="B42">
        <v>2.5</v>
      </c>
      <c r="C42" s="5">
        <f t="shared" si="0"/>
        <v>180.5</v>
      </c>
    </row>
    <row r="43" spans="1:19" ht="20.100000000000001" customHeight="1" x14ac:dyDescent="0.4">
      <c r="A43" s="10">
        <v>44026.25</v>
      </c>
      <c r="B43">
        <v>2</v>
      </c>
      <c r="C43" s="5">
        <f t="shared" si="0"/>
        <v>182.5</v>
      </c>
    </row>
    <row r="44" spans="1:19" ht="20.100000000000001" customHeight="1" x14ac:dyDescent="0.4">
      <c r="A44" s="10">
        <v>44026.291666666664</v>
      </c>
      <c r="B44">
        <v>1</v>
      </c>
      <c r="C44" s="5">
        <f t="shared" si="0"/>
        <v>183.5</v>
      </c>
    </row>
    <row r="45" spans="1:19" ht="20.100000000000001" customHeight="1" x14ac:dyDescent="0.4">
      <c r="A45" s="10">
        <v>44026.333333333336</v>
      </c>
      <c r="B45">
        <v>0</v>
      </c>
      <c r="C45" s="5">
        <f t="shared" si="0"/>
        <v>183.5</v>
      </c>
    </row>
    <row r="46" spans="1:19" ht="20.100000000000001" customHeight="1" x14ac:dyDescent="0.4">
      <c r="A46" s="10">
        <v>44026.375</v>
      </c>
      <c r="B46">
        <v>0.5</v>
      </c>
      <c r="C46" s="5">
        <f t="shared" si="0"/>
        <v>184</v>
      </c>
    </row>
    <row r="47" spans="1:19" ht="20.100000000000001" customHeight="1" x14ac:dyDescent="0.4">
      <c r="A47" s="10">
        <v>44026.416666666664</v>
      </c>
      <c r="B47">
        <v>0</v>
      </c>
      <c r="C47" s="5">
        <f t="shared" si="0"/>
        <v>184</v>
      </c>
    </row>
    <row r="48" spans="1:19" ht="20.100000000000001" customHeight="1" x14ac:dyDescent="0.4">
      <c r="A48" s="10">
        <v>44026.458333333336</v>
      </c>
      <c r="B48">
        <v>0</v>
      </c>
      <c r="C48" s="5">
        <f t="shared" si="0"/>
        <v>184</v>
      </c>
    </row>
    <row r="49" spans="1:3" ht="20.100000000000001" customHeight="1" x14ac:dyDescent="0.4">
      <c r="A49" s="10">
        <v>44026.5</v>
      </c>
      <c r="B49">
        <v>0</v>
      </c>
      <c r="C49" s="5">
        <f t="shared" si="0"/>
        <v>184</v>
      </c>
    </row>
    <row r="50" spans="1:3" ht="20.100000000000001" customHeight="1" x14ac:dyDescent="0.4">
      <c r="A50" s="10">
        <v>44026.541666666664</v>
      </c>
      <c r="B50">
        <v>0</v>
      </c>
      <c r="C50" s="5">
        <f t="shared" si="0"/>
        <v>184</v>
      </c>
    </row>
    <row r="51" spans="1:3" ht="20.100000000000001" customHeight="1" x14ac:dyDescent="0.4">
      <c r="A51" s="10">
        <v>44026.583333333336</v>
      </c>
      <c r="B51">
        <v>0.5</v>
      </c>
      <c r="C51" s="5">
        <f t="shared" si="0"/>
        <v>184.5</v>
      </c>
    </row>
    <row r="52" spans="1:3" ht="20.100000000000001" customHeight="1" x14ac:dyDescent="0.4">
      <c r="A52" s="10">
        <v>44026.625</v>
      </c>
      <c r="B52">
        <v>0.5</v>
      </c>
      <c r="C52" s="5">
        <f t="shared" si="0"/>
        <v>185</v>
      </c>
    </row>
    <row r="53" spans="1:3" ht="20.100000000000001" customHeight="1" x14ac:dyDescent="0.4">
      <c r="A53" s="10">
        <v>44026.666666666664</v>
      </c>
      <c r="B53">
        <v>0</v>
      </c>
      <c r="C53" s="5">
        <f t="shared" si="0"/>
        <v>185</v>
      </c>
    </row>
    <row r="54" spans="1:3" ht="20.100000000000001" customHeight="1" x14ac:dyDescent="0.4">
      <c r="A54" s="10">
        <v>44026.708333333336</v>
      </c>
      <c r="B54">
        <v>0</v>
      </c>
      <c r="C54" s="5">
        <f t="shared" si="0"/>
        <v>185</v>
      </c>
    </row>
    <row r="55" spans="1:3" ht="20.100000000000001" customHeight="1" x14ac:dyDescent="0.4">
      <c r="A55" s="10">
        <v>44026.75</v>
      </c>
      <c r="B55">
        <v>0</v>
      </c>
      <c r="C55" s="5">
        <f t="shared" si="0"/>
        <v>185</v>
      </c>
    </row>
    <row r="56" spans="1:3" ht="20.100000000000001" customHeight="1" x14ac:dyDescent="0.4">
      <c r="A56" s="10">
        <v>44026.791666666664</v>
      </c>
      <c r="B56">
        <v>0.5</v>
      </c>
      <c r="C56" s="5">
        <f t="shared" si="0"/>
        <v>185.5</v>
      </c>
    </row>
    <row r="57" spans="1:3" ht="20.100000000000001" customHeight="1" x14ac:dyDescent="0.4">
      <c r="A57" s="10">
        <v>44026.833333333336</v>
      </c>
      <c r="B57">
        <v>0</v>
      </c>
      <c r="C57" s="5">
        <f t="shared" si="0"/>
        <v>185.5</v>
      </c>
    </row>
    <row r="58" spans="1:3" ht="20.100000000000001" customHeight="1" x14ac:dyDescent="0.4">
      <c r="A58" s="10">
        <v>44026.875</v>
      </c>
      <c r="B58">
        <v>0</v>
      </c>
      <c r="C58" s="5">
        <f t="shared" si="0"/>
        <v>185.5</v>
      </c>
    </row>
    <row r="59" spans="1:3" ht="20.100000000000001" customHeight="1" x14ac:dyDescent="0.4">
      <c r="A59" s="10">
        <v>44026.916666666664</v>
      </c>
      <c r="B59">
        <v>0</v>
      </c>
      <c r="C59" s="5">
        <f t="shared" si="0"/>
        <v>185.5</v>
      </c>
    </row>
    <row r="60" spans="1:3" ht="20.100000000000001" customHeight="1" x14ac:dyDescent="0.4">
      <c r="A60" s="10">
        <v>44026.958333333336</v>
      </c>
      <c r="B60">
        <v>0</v>
      </c>
      <c r="C60" s="5">
        <f t="shared" si="0"/>
        <v>185.5</v>
      </c>
    </row>
    <row r="61" spans="1:3" ht="20.100000000000001" customHeight="1" x14ac:dyDescent="0.4">
      <c r="A61" s="2" t="s">
        <v>1</v>
      </c>
      <c r="B61" s="3">
        <f>SUM(B4:B60)</f>
        <v>185.5</v>
      </c>
      <c r="C61" s="3">
        <f>C60</f>
        <v>185.5</v>
      </c>
    </row>
    <row r="66" spans="2:25" ht="20.100000000000001" customHeight="1" x14ac:dyDescent="0.4">
      <c r="B66">
        <v>0</v>
      </c>
      <c r="C66">
        <v>0</v>
      </c>
      <c r="D66">
        <v>0</v>
      </c>
      <c r="E66">
        <v>0.5</v>
      </c>
      <c r="F66">
        <v>6</v>
      </c>
      <c r="G66">
        <v>15</v>
      </c>
      <c r="H66">
        <v>68</v>
      </c>
      <c r="I66">
        <v>30</v>
      </c>
      <c r="J66">
        <v>53.5</v>
      </c>
      <c r="K66">
        <v>47.5</v>
      </c>
      <c r="L66">
        <v>15</v>
      </c>
      <c r="M66">
        <v>16.5</v>
      </c>
      <c r="N66">
        <v>21.5</v>
      </c>
      <c r="O66">
        <v>10.5</v>
      </c>
      <c r="P66">
        <v>7</v>
      </c>
      <c r="Q66">
        <v>9.5</v>
      </c>
      <c r="R66">
        <v>7.5</v>
      </c>
      <c r="S66">
        <v>0.5</v>
      </c>
      <c r="T66">
        <v>0</v>
      </c>
      <c r="U66">
        <v>0</v>
      </c>
      <c r="V66">
        <v>0</v>
      </c>
      <c r="W66">
        <v>1.5</v>
      </c>
      <c r="X66">
        <v>0</v>
      </c>
      <c r="Y66">
        <v>0</v>
      </c>
    </row>
  </sheetData>
  <mergeCells count="3">
    <mergeCell ref="A2:A3"/>
    <mergeCell ref="B2:C2"/>
    <mergeCell ref="B3:C3"/>
  </mergeCells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51B6-3533-49FD-AEAB-3E1B9005407A}">
  <sheetPr codeName="Sheet3"/>
  <dimension ref="A2:AB70"/>
  <sheetViews>
    <sheetView zoomScale="85" zoomScaleNormal="85" workbookViewId="0">
      <selection activeCell="E23" sqref="E23"/>
    </sheetView>
  </sheetViews>
  <sheetFormatPr defaultRowHeight="20.100000000000001" customHeight="1" x14ac:dyDescent="0.4"/>
  <cols>
    <col min="1" max="1" width="23.8984375" style="1" bestFit="1" customWidth="1"/>
    <col min="2" max="3" width="7.59765625" style="1" customWidth="1"/>
    <col min="4" max="13" width="9" style="1"/>
    <col min="14" max="16" width="10.5" style="1" bestFit="1" customWidth="1"/>
    <col min="17" max="256" width="9" style="1"/>
    <col min="257" max="257" width="12.09765625" style="1" customWidth="1"/>
    <col min="258" max="259" width="7.59765625" style="1" customWidth="1"/>
    <col min="260" max="512" width="9" style="1"/>
    <col min="513" max="513" width="12.09765625" style="1" customWidth="1"/>
    <col min="514" max="515" width="7.59765625" style="1" customWidth="1"/>
    <col min="516" max="768" width="9" style="1"/>
    <col min="769" max="769" width="12.09765625" style="1" customWidth="1"/>
    <col min="770" max="771" width="7.59765625" style="1" customWidth="1"/>
    <col min="772" max="1024" width="9" style="1"/>
    <col min="1025" max="1025" width="12.09765625" style="1" customWidth="1"/>
    <col min="1026" max="1027" width="7.59765625" style="1" customWidth="1"/>
    <col min="1028" max="1280" width="9" style="1"/>
    <col min="1281" max="1281" width="12.09765625" style="1" customWidth="1"/>
    <col min="1282" max="1283" width="7.59765625" style="1" customWidth="1"/>
    <col min="1284" max="1536" width="9" style="1"/>
    <col min="1537" max="1537" width="12.09765625" style="1" customWidth="1"/>
    <col min="1538" max="1539" width="7.59765625" style="1" customWidth="1"/>
    <col min="1540" max="1792" width="9" style="1"/>
    <col min="1793" max="1793" width="12.09765625" style="1" customWidth="1"/>
    <col min="1794" max="1795" width="7.59765625" style="1" customWidth="1"/>
    <col min="1796" max="2048" width="9" style="1"/>
    <col min="2049" max="2049" width="12.09765625" style="1" customWidth="1"/>
    <col min="2050" max="2051" width="7.59765625" style="1" customWidth="1"/>
    <col min="2052" max="2304" width="9" style="1"/>
    <col min="2305" max="2305" width="12.09765625" style="1" customWidth="1"/>
    <col min="2306" max="2307" width="7.59765625" style="1" customWidth="1"/>
    <col min="2308" max="2560" width="9" style="1"/>
    <col min="2561" max="2561" width="12.09765625" style="1" customWidth="1"/>
    <col min="2562" max="2563" width="7.59765625" style="1" customWidth="1"/>
    <col min="2564" max="2816" width="9" style="1"/>
    <col min="2817" max="2817" width="12.09765625" style="1" customWidth="1"/>
    <col min="2818" max="2819" width="7.59765625" style="1" customWidth="1"/>
    <col min="2820" max="3072" width="9" style="1"/>
    <col min="3073" max="3073" width="12.09765625" style="1" customWidth="1"/>
    <col min="3074" max="3075" width="7.59765625" style="1" customWidth="1"/>
    <col min="3076" max="3328" width="9" style="1"/>
    <col min="3329" max="3329" width="12.09765625" style="1" customWidth="1"/>
    <col min="3330" max="3331" width="7.59765625" style="1" customWidth="1"/>
    <col min="3332" max="3584" width="9" style="1"/>
    <col min="3585" max="3585" width="12.09765625" style="1" customWidth="1"/>
    <col min="3586" max="3587" width="7.59765625" style="1" customWidth="1"/>
    <col min="3588" max="3840" width="9" style="1"/>
    <col min="3841" max="3841" width="12.09765625" style="1" customWidth="1"/>
    <col min="3842" max="3843" width="7.59765625" style="1" customWidth="1"/>
    <col min="3844" max="4096" width="9" style="1"/>
    <col min="4097" max="4097" width="12.09765625" style="1" customWidth="1"/>
    <col min="4098" max="4099" width="7.59765625" style="1" customWidth="1"/>
    <col min="4100" max="4352" width="9" style="1"/>
    <col min="4353" max="4353" width="12.09765625" style="1" customWidth="1"/>
    <col min="4354" max="4355" width="7.59765625" style="1" customWidth="1"/>
    <col min="4356" max="4608" width="9" style="1"/>
    <col min="4609" max="4609" width="12.09765625" style="1" customWidth="1"/>
    <col min="4610" max="4611" width="7.59765625" style="1" customWidth="1"/>
    <col min="4612" max="4864" width="9" style="1"/>
    <col min="4865" max="4865" width="12.09765625" style="1" customWidth="1"/>
    <col min="4866" max="4867" width="7.59765625" style="1" customWidth="1"/>
    <col min="4868" max="5120" width="9" style="1"/>
    <col min="5121" max="5121" width="12.09765625" style="1" customWidth="1"/>
    <col min="5122" max="5123" width="7.59765625" style="1" customWidth="1"/>
    <col min="5124" max="5376" width="9" style="1"/>
    <col min="5377" max="5377" width="12.09765625" style="1" customWidth="1"/>
    <col min="5378" max="5379" width="7.59765625" style="1" customWidth="1"/>
    <col min="5380" max="5632" width="9" style="1"/>
    <col min="5633" max="5633" width="12.09765625" style="1" customWidth="1"/>
    <col min="5634" max="5635" width="7.59765625" style="1" customWidth="1"/>
    <col min="5636" max="5888" width="9" style="1"/>
    <col min="5889" max="5889" width="12.09765625" style="1" customWidth="1"/>
    <col min="5890" max="5891" width="7.59765625" style="1" customWidth="1"/>
    <col min="5892" max="6144" width="9" style="1"/>
    <col min="6145" max="6145" width="12.09765625" style="1" customWidth="1"/>
    <col min="6146" max="6147" width="7.59765625" style="1" customWidth="1"/>
    <col min="6148" max="6400" width="9" style="1"/>
    <col min="6401" max="6401" width="12.09765625" style="1" customWidth="1"/>
    <col min="6402" max="6403" width="7.59765625" style="1" customWidth="1"/>
    <col min="6404" max="6656" width="9" style="1"/>
    <col min="6657" max="6657" width="12.09765625" style="1" customWidth="1"/>
    <col min="6658" max="6659" width="7.59765625" style="1" customWidth="1"/>
    <col min="6660" max="6912" width="9" style="1"/>
    <col min="6913" max="6913" width="12.09765625" style="1" customWidth="1"/>
    <col min="6914" max="6915" width="7.59765625" style="1" customWidth="1"/>
    <col min="6916" max="7168" width="9" style="1"/>
    <col min="7169" max="7169" width="12.09765625" style="1" customWidth="1"/>
    <col min="7170" max="7171" width="7.59765625" style="1" customWidth="1"/>
    <col min="7172" max="7424" width="9" style="1"/>
    <col min="7425" max="7425" width="12.09765625" style="1" customWidth="1"/>
    <col min="7426" max="7427" width="7.59765625" style="1" customWidth="1"/>
    <col min="7428" max="7680" width="9" style="1"/>
    <col min="7681" max="7681" width="12.09765625" style="1" customWidth="1"/>
    <col min="7682" max="7683" width="7.59765625" style="1" customWidth="1"/>
    <col min="7684" max="7936" width="9" style="1"/>
    <col min="7937" max="7937" width="12.09765625" style="1" customWidth="1"/>
    <col min="7938" max="7939" width="7.59765625" style="1" customWidth="1"/>
    <col min="7940" max="8192" width="9" style="1"/>
    <col min="8193" max="8193" width="12.09765625" style="1" customWidth="1"/>
    <col min="8194" max="8195" width="7.59765625" style="1" customWidth="1"/>
    <col min="8196" max="8448" width="9" style="1"/>
    <col min="8449" max="8449" width="12.09765625" style="1" customWidth="1"/>
    <col min="8450" max="8451" width="7.59765625" style="1" customWidth="1"/>
    <col min="8452" max="8704" width="9" style="1"/>
    <col min="8705" max="8705" width="12.09765625" style="1" customWidth="1"/>
    <col min="8706" max="8707" width="7.59765625" style="1" customWidth="1"/>
    <col min="8708" max="8960" width="9" style="1"/>
    <col min="8961" max="8961" width="12.09765625" style="1" customWidth="1"/>
    <col min="8962" max="8963" width="7.59765625" style="1" customWidth="1"/>
    <col min="8964" max="9216" width="9" style="1"/>
    <col min="9217" max="9217" width="12.09765625" style="1" customWidth="1"/>
    <col min="9218" max="9219" width="7.59765625" style="1" customWidth="1"/>
    <col min="9220" max="9472" width="9" style="1"/>
    <col min="9473" max="9473" width="12.09765625" style="1" customWidth="1"/>
    <col min="9474" max="9475" width="7.59765625" style="1" customWidth="1"/>
    <col min="9476" max="9728" width="9" style="1"/>
    <col min="9729" max="9729" width="12.09765625" style="1" customWidth="1"/>
    <col min="9730" max="9731" width="7.59765625" style="1" customWidth="1"/>
    <col min="9732" max="9984" width="9" style="1"/>
    <col min="9985" max="9985" width="12.09765625" style="1" customWidth="1"/>
    <col min="9986" max="9987" width="7.59765625" style="1" customWidth="1"/>
    <col min="9988" max="10240" width="9" style="1"/>
    <col min="10241" max="10241" width="12.09765625" style="1" customWidth="1"/>
    <col min="10242" max="10243" width="7.59765625" style="1" customWidth="1"/>
    <col min="10244" max="10496" width="9" style="1"/>
    <col min="10497" max="10497" width="12.09765625" style="1" customWidth="1"/>
    <col min="10498" max="10499" width="7.59765625" style="1" customWidth="1"/>
    <col min="10500" max="10752" width="9" style="1"/>
    <col min="10753" max="10753" width="12.09765625" style="1" customWidth="1"/>
    <col min="10754" max="10755" width="7.59765625" style="1" customWidth="1"/>
    <col min="10756" max="11008" width="9" style="1"/>
    <col min="11009" max="11009" width="12.09765625" style="1" customWidth="1"/>
    <col min="11010" max="11011" width="7.59765625" style="1" customWidth="1"/>
    <col min="11012" max="11264" width="9" style="1"/>
    <col min="11265" max="11265" width="12.09765625" style="1" customWidth="1"/>
    <col min="11266" max="11267" width="7.59765625" style="1" customWidth="1"/>
    <col min="11268" max="11520" width="9" style="1"/>
    <col min="11521" max="11521" width="12.09765625" style="1" customWidth="1"/>
    <col min="11522" max="11523" width="7.59765625" style="1" customWidth="1"/>
    <col min="11524" max="11776" width="9" style="1"/>
    <col min="11777" max="11777" width="12.09765625" style="1" customWidth="1"/>
    <col min="11778" max="11779" width="7.59765625" style="1" customWidth="1"/>
    <col min="11780" max="12032" width="9" style="1"/>
    <col min="12033" max="12033" width="12.09765625" style="1" customWidth="1"/>
    <col min="12034" max="12035" width="7.59765625" style="1" customWidth="1"/>
    <col min="12036" max="12288" width="9" style="1"/>
    <col min="12289" max="12289" width="12.09765625" style="1" customWidth="1"/>
    <col min="12290" max="12291" width="7.59765625" style="1" customWidth="1"/>
    <col min="12292" max="12544" width="9" style="1"/>
    <col min="12545" max="12545" width="12.09765625" style="1" customWidth="1"/>
    <col min="12546" max="12547" width="7.59765625" style="1" customWidth="1"/>
    <col min="12548" max="12800" width="9" style="1"/>
    <col min="12801" max="12801" width="12.09765625" style="1" customWidth="1"/>
    <col min="12802" max="12803" width="7.59765625" style="1" customWidth="1"/>
    <col min="12804" max="13056" width="9" style="1"/>
    <col min="13057" max="13057" width="12.09765625" style="1" customWidth="1"/>
    <col min="13058" max="13059" width="7.59765625" style="1" customWidth="1"/>
    <col min="13060" max="13312" width="9" style="1"/>
    <col min="13313" max="13313" width="12.09765625" style="1" customWidth="1"/>
    <col min="13314" max="13315" width="7.59765625" style="1" customWidth="1"/>
    <col min="13316" max="13568" width="9" style="1"/>
    <col min="13569" max="13569" width="12.09765625" style="1" customWidth="1"/>
    <col min="13570" max="13571" width="7.59765625" style="1" customWidth="1"/>
    <col min="13572" max="13824" width="9" style="1"/>
    <col min="13825" max="13825" width="12.09765625" style="1" customWidth="1"/>
    <col min="13826" max="13827" width="7.59765625" style="1" customWidth="1"/>
    <col min="13828" max="14080" width="9" style="1"/>
    <col min="14081" max="14081" width="12.09765625" style="1" customWidth="1"/>
    <col min="14082" max="14083" width="7.59765625" style="1" customWidth="1"/>
    <col min="14084" max="14336" width="9" style="1"/>
    <col min="14337" max="14337" width="12.09765625" style="1" customWidth="1"/>
    <col min="14338" max="14339" width="7.59765625" style="1" customWidth="1"/>
    <col min="14340" max="14592" width="9" style="1"/>
    <col min="14593" max="14593" width="12.09765625" style="1" customWidth="1"/>
    <col min="14594" max="14595" width="7.59765625" style="1" customWidth="1"/>
    <col min="14596" max="14848" width="9" style="1"/>
    <col min="14849" max="14849" width="12.09765625" style="1" customWidth="1"/>
    <col min="14850" max="14851" width="7.59765625" style="1" customWidth="1"/>
    <col min="14852" max="15104" width="9" style="1"/>
    <col min="15105" max="15105" width="12.09765625" style="1" customWidth="1"/>
    <col min="15106" max="15107" width="7.59765625" style="1" customWidth="1"/>
    <col min="15108" max="15360" width="9" style="1"/>
    <col min="15361" max="15361" width="12.09765625" style="1" customWidth="1"/>
    <col min="15362" max="15363" width="7.59765625" style="1" customWidth="1"/>
    <col min="15364" max="15616" width="9" style="1"/>
    <col min="15617" max="15617" width="12.09765625" style="1" customWidth="1"/>
    <col min="15618" max="15619" width="7.59765625" style="1" customWidth="1"/>
    <col min="15620" max="15872" width="9" style="1"/>
    <col min="15873" max="15873" width="12.09765625" style="1" customWidth="1"/>
    <col min="15874" max="15875" width="7.59765625" style="1" customWidth="1"/>
    <col min="15876" max="16128" width="9" style="1"/>
    <col min="16129" max="16129" width="12.09765625" style="1" customWidth="1"/>
    <col min="16130" max="16131" width="7.59765625" style="1" customWidth="1"/>
    <col min="16132" max="16384" width="9" style="1"/>
  </cols>
  <sheetData>
    <row r="2" spans="1:28" ht="20.100000000000001" customHeight="1" x14ac:dyDescent="0.4">
      <c r="A2" s="11" t="s">
        <v>0</v>
      </c>
      <c r="B2" s="13" t="s">
        <v>2</v>
      </c>
      <c r="C2" s="13"/>
      <c r="Q2" s="1" t="s">
        <v>24</v>
      </c>
      <c r="R2" s="1">
        <f>MAX(Q5:AB10)</f>
        <v>25.5</v>
      </c>
      <c r="T2" s="1" t="s">
        <v>25</v>
      </c>
      <c r="U2" s="1">
        <f>MAX(N46:P46)</f>
        <v>170</v>
      </c>
      <c r="V2" s="1" t="s">
        <v>26</v>
      </c>
      <c r="W2" s="1">
        <f>SUM(Q5:AB10)</f>
        <v>281</v>
      </c>
    </row>
    <row r="3" spans="1:28" ht="20.100000000000001" customHeight="1" thickBot="1" x14ac:dyDescent="0.45">
      <c r="A3" s="12"/>
      <c r="B3" s="13" t="s">
        <v>14</v>
      </c>
      <c r="C3" s="13"/>
      <c r="O3" s="1" t="s">
        <v>13</v>
      </c>
      <c r="Q3" s="1">
        <v>1</v>
      </c>
      <c r="R3" s="1">
        <v>2</v>
      </c>
      <c r="S3" s="1">
        <v>3</v>
      </c>
      <c r="T3" s="1">
        <v>4</v>
      </c>
      <c r="U3" s="1">
        <v>5</v>
      </c>
      <c r="V3" s="1">
        <v>6</v>
      </c>
      <c r="W3" s="1">
        <v>7</v>
      </c>
      <c r="X3" s="1">
        <v>8</v>
      </c>
      <c r="Y3" s="1">
        <v>9</v>
      </c>
      <c r="Z3" s="1">
        <v>10</v>
      </c>
      <c r="AA3" s="1">
        <v>11</v>
      </c>
      <c r="AB3" s="1">
        <v>12</v>
      </c>
    </row>
    <row r="4" spans="1:28" ht="20.100000000000001" customHeight="1" thickTop="1" x14ac:dyDescent="0.4">
      <c r="A4" s="10">
        <v>45120.375</v>
      </c>
      <c r="B4">
        <v>0.5</v>
      </c>
      <c r="C4" s="4">
        <f>B4</f>
        <v>0.5</v>
      </c>
      <c r="O4" s="1" t="s">
        <v>14</v>
      </c>
      <c r="Q4" s="1">
        <v>13</v>
      </c>
      <c r="R4" s="1">
        <v>14</v>
      </c>
      <c r="S4" s="1">
        <v>15</v>
      </c>
      <c r="T4" s="1">
        <v>16</v>
      </c>
      <c r="U4" s="1">
        <v>17</v>
      </c>
      <c r="V4" s="1">
        <v>18</v>
      </c>
      <c r="W4" s="1">
        <v>19</v>
      </c>
      <c r="X4" s="1">
        <v>20</v>
      </c>
      <c r="Y4" s="1">
        <v>21</v>
      </c>
      <c r="Z4" s="1">
        <v>22</v>
      </c>
      <c r="AA4" s="1">
        <v>23</v>
      </c>
      <c r="AB4" s="1">
        <v>24</v>
      </c>
    </row>
    <row r="5" spans="1:28" ht="20.100000000000001" customHeight="1" x14ac:dyDescent="0.4">
      <c r="A5" s="10">
        <v>45120.416666666664</v>
      </c>
      <c r="B5">
        <v>0</v>
      </c>
      <c r="C5" s="5">
        <f>C4+B5</f>
        <v>0.5</v>
      </c>
      <c r="O5" s="1" t="s">
        <v>21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0.5</v>
      </c>
      <c r="Z5">
        <v>0</v>
      </c>
      <c r="AA5">
        <v>9.5</v>
      </c>
      <c r="AB5">
        <v>8</v>
      </c>
    </row>
    <row r="6" spans="1:28" ht="20.100000000000001" customHeight="1" x14ac:dyDescent="0.4">
      <c r="A6" s="10">
        <v>45120.458333333336</v>
      </c>
      <c r="B6">
        <v>9.5</v>
      </c>
      <c r="C6" s="5">
        <f t="shared" ref="C6:C64" si="0">C5+B6</f>
        <v>10</v>
      </c>
      <c r="Q6">
        <v>1.5</v>
      </c>
      <c r="R6">
        <v>0</v>
      </c>
      <c r="S6">
        <v>0</v>
      </c>
      <c r="T6">
        <v>0</v>
      </c>
      <c r="U6">
        <v>0</v>
      </c>
      <c r="V6">
        <v>0.5</v>
      </c>
      <c r="W6">
        <v>1</v>
      </c>
      <c r="X6">
        <v>1</v>
      </c>
      <c r="Y6">
        <v>0.5</v>
      </c>
      <c r="Z6">
        <v>0</v>
      </c>
      <c r="AA6">
        <v>0.5</v>
      </c>
      <c r="AB6">
        <v>2</v>
      </c>
    </row>
    <row r="7" spans="1:28" ht="20.100000000000001" customHeight="1" x14ac:dyDescent="0.4">
      <c r="A7" s="10">
        <v>45120.5</v>
      </c>
      <c r="B7">
        <v>8</v>
      </c>
      <c r="C7" s="5">
        <f t="shared" si="0"/>
        <v>18</v>
      </c>
      <c r="O7" s="1" t="s">
        <v>22</v>
      </c>
      <c r="Q7">
        <v>0.5</v>
      </c>
      <c r="R7">
        <v>0.5</v>
      </c>
      <c r="S7">
        <v>6</v>
      </c>
      <c r="T7">
        <v>6</v>
      </c>
      <c r="U7">
        <v>7.5</v>
      </c>
      <c r="V7">
        <v>13</v>
      </c>
      <c r="W7">
        <v>16</v>
      </c>
      <c r="X7">
        <v>1</v>
      </c>
      <c r="Y7">
        <v>4</v>
      </c>
      <c r="Z7">
        <v>3</v>
      </c>
      <c r="AA7">
        <v>4</v>
      </c>
      <c r="AB7">
        <v>8</v>
      </c>
    </row>
    <row r="8" spans="1:28" ht="20.100000000000001" customHeight="1" x14ac:dyDescent="0.4">
      <c r="A8" s="10">
        <v>45120.541666666664</v>
      </c>
      <c r="B8">
        <v>1.5</v>
      </c>
      <c r="C8" s="5">
        <f t="shared" si="0"/>
        <v>19.5</v>
      </c>
      <c r="Q8">
        <v>10</v>
      </c>
      <c r="R8">
        <v>13.5</v>
      </c>
      <c r="S8">
        <v>10.5</v>
      </c>
      <c r="T8">
        <v>5</v>
      </c>
      <c r="U8">
        <v>3</v>
      </c>
      <c r="V8">
        <v>16</v>
      </c>
      <c r="W8">
        <v>6.5</v>
      </c>
      <c r="X8">
        <v>3</v>
      </c>
      <c r="Y8">
        <v>9</v>
      </c>
      <c r="Z8">
        <v>0</v>
      </c>
      <c r="AA8">
        <v>2.5</v>
      </c>
      <c r="AB8">
        <v>21.5</v>
      </c>
    </row>
    <row r="9" spans="1:28" ht="20.100000000000001" customHeight="1" x14ac:dyDescent="0.4">
      <c r="A9" s="10">
        <v>45120.583333333336</v>
      </c>
      <c r="B9">
        <v>0</v>
      </c>
      <c r="C9" s="5">
        <f t="shared" si="0"/>
        <v>19.5</v>
      </c>
      <c r="O9" s="1" t="s">
        <v>23</v>
      </c>
      <c r="Q9">
        <v>25.5</v>
      </c>
      <c r="R9">
        <v>7</v>
      </c>
      <c r="S9">
        <v>4.5</v>
      </c>
      <c r="T9">
        <v>3</v>
      </c>
      <c r="U9">
        <v>7.5</v>
      </c>
      <c r="V9">
        <v>3.5</v>
      </c>
      <c r="W9">
        <v>3</v>
      </c>
      <c r="X9">
        <v>2.5</v>
      </c>
      <c r="Y9">
        <v>4</v>
      </c>
      <c r="Z9">
        <v>2.5</v>
      </c>
      <c r="AA9">
        <v>3.5</v>
      </c>
      <c r="AB9">
        <v>0</v>
      </c>
    </row>
    <row r="10" spans="1:28" ht="20.100000000000001" customHeight="1" x14ac:dyDescent="0.4">
      <c r="A10" s="10">
        <v>45120.625</v>
      </c>
      <c r="B10">
        <v>0</v>
      </c>
      <c r="C10" s="5">
        <f t="shared" si="0"/>
        <v>19.5</v>
      </c>
      <c r="Q10">
        <v>0.5</v>
      </c>
      <c r="R10">
        <v>4</v>
      </c>
      <c r="S10">
        <v>0.5</v>
      </c>
      <c r="T10">
        <v>1</v>
      </c>
      <c r="U10">
        <v>2.5</v>
      </c>
      <c r="V10">
        <v>5.5</v>
      </c>
      <c r="W10">
        <v>2</v>
      </c>
      <c r="X10">
        <v>3</v>
      </c>
      <c r="Y10">
        <v>0.5</v>
      </c>
      <c r="Z10">
        <v>0</v>
      </c>
      <c r="AA10">
        <v>0</v>
      </c>
      <c r="AB10">
        <v>0</v>
      </c>
    </row>
    <row r="11" spans="1:28" ht="20.100000000000001" customHeight="1" x14ac:dyDescent="0.4">
      <c r="A11" s="10">
        <v>45120.666666666664</v>
      </c>
      <c r="B11">
        <v>0</v>
      </c>
      <c r="C11" s="5">
        <f t="shared" si="0"/>
        <v>19.5</v>
      </c>
    </row>
    <row r="12" spans="1:28" ht="20.100000000000001" customHeight="1" x14ac:dyDescent="0.4">
      <c r="A12" s="10">
        <v>45120.708333333336</v>
      </c>
      <c r="B12">
        <v>0</v>
      </c>
      <c r="C12" s="5">
        <f t="shared" si="0"/>
        <v>19.5</v>
      </c>
    </row>
    <row r="13" spans="1:28" ht="20.100000000000001" customHeight="1" x14ac:dyDescent="0.4">
      <c r="A13" s="10">
        <v>45120.75</v>
      </c>
      <c r="B13">
        <v>0.5</v>
      </c>
      <c r="C13" s="5">
        <f t="shared" si="0"/>
        <v>20</v>
      </c>
    </row>
    <row r="14" spans="1:28" ht="20.100000000000001" customHeight="1" x14ac:dyDescent="0.4">
      <c r="A14" s="10">
        <v>45120.791666666664</v>
      </c>
      <c r="B14">
        <v>1</v>
      </c>
      <c r="C14" s="5">
        <f t="shared" si="0"/>
        <v>21</v>
      </c>
    </row>
    <row r="15" spans="1:28" ht="20.100000000000001" customHeight="1" x14ac:dyDescent="0.4">
      <c r="A15" s="10">
        <v>45120.833333333336</v>
      </c>
      <c r="B15">
        <v>1</v>
      </c>
      <c r="C15" s="5">
        <f t="shared" si="0"/>
        <v>22</v>
      </c>
    </row>
    <row r="16" spans="1:28" ht="20.100000000000001" customHeight="1" x14ac:dyDescent="0.4">
      <c r="A16" s="10">
        <v>45120.875</v>
      </c>
      <c r="B16">
        <v>0.5</v>
      </c>
      <c r="C16" s="5">
        <f t="shared" si="0"/>
        <v>22.5</v>
      </c>
    </row>
    <row r="17" spans="1:16" ht="20.100000000000001" customHeight="1" x14ac:dyDescent="0.4">
      <c r="A17" s="10">
        <v>45120.916666666664</v>
      </c>
      <c r="B17">
        <v>0</v>
      </c>
      <c r="C17" s="5">
        <f t="shared" si="0"/>
        <v>22.5</v>
      </c>
    </row>
    <row r="18" spans="1:16" ht="20.100000000000001" customHeight="1" x14ac:dyDescent="0.4">
      <c r="A18" s="10">
        <v>45120.958333333336</v>
      </c>
      <c r="B18">
        <v>0.5</v>
      </c>
      <c r="C18" s="5">
        <f t="shared" si="0"/>
        <v>23</v>
      </c>
    </row>
    <row r="19" spans="1:16" ht="20.100000000000001" customHeight="1" x14ac:dyDescent="0.4">
      <c r="A19" s="10">
        <v>45121</v>
      </c>
      <c r="B19">
        <v>2</v>
      </c>
      <c r="C19" s="5">
        <f t="shared" si="0"/>
        <v>25</v>
      </c>
    </row>
    <row r="20" spans="1:16" ht="20.100000000000001" customHeight="1" x14ac:dyDescent="0.4">
      <c r="A20" s="10">
        <v>45121.041666666664</v>
      </c>
      <c r="B20">
        <v>0.5</v>
      </c>
      <c r="C20" s="5">
        <f t="shared" si="0"/>
        <v>25.5</v>
      </c>
    </row>
    <row r="21" spans="1:16" ht="20.100000000000001" customHeight="1" x14ac:dyDescent="0.4">
      <c r="A21" s="10">
        <v>45121.083333333336</v>
      </c>
      <c r="B21">
        <v>0.5</v>
      </c>
      <c r="C21" s="5">
        <f t="shared" si="0"/>
        <v>26</v>
      </c>
      <c r="N21" s="1" t="s">
        <v>21</v>
      </c>
      <c r="O21" s="1" t="s">
        <v>22</v>
      </c>
      <c r="P21" s="1" t="s">
        <v>23</v>
      </c>
    </row>
    <row r="22" spans="1:16" ht="20.100000000000001" customHeight="1" x14ac:dyDescent="0.4">
      <c r="A22" s="10">
        <v>45121.125</v>
      </c>
      <c r="B22">
        <v>6</v>
      </c>
      <c r="C22" s="5">
        <f t="shared" si="0"/>
        <v>32</v>
      </c>
      <c r="N22">
        <v>0</v>
      </c>
      <c r="O22">
        <v>0.5</v>
      </c>
      <c r="P22">
        <v>25.5</v>
      </c>
    </row>
    <row r="23" spans="1:16" ht="20.100000000000001" customHeight="1" x14ac:dyDescent="0.4">
      <c r="A23" s="10">
        <v>45121.166666666664</v>
      </c>
      <c r="B23">
        <v>6</v>
      </c>
      <c r="C23" s="5">
        <f t="shared" si="0"/>
        <v>38</v>
      </c>
      <c r="N23">
        <v>0</v>
      </c>
      <c r="O23">
        <v>0.5</v>
      </c>
      <c r="P23">
        <v>7</v>
      </c>
    </row>
    <row r="24" spans="1:16" ht="20.100000000000001" customHeight="1" x14ac:dyDescent="0.4">
      <c r="A24" s="10">
        <v>45121.208333333336</v>
      </c>
      <c r="B24">
        <v>7.5</v>
      </c>
      <c r="C24" s="5">
        <f t="shared" si="0"/>
        <v>45.5</v>
      </c>
      <c r="N24">
        <v>0</v>
      </c>
      <c r="O24">
        <v>6</v>
      </c>
      <c r="P24">
        <v>4.5</v>
      </c>
    </row>
    <row r="25" spans="1:16" ht="20.100000000000001" customHeight="1" x14ac:dyDescent="0.4">
      <c r="A25" s="10">
        <v>45121.25</v>
      </c>
      <c r="B25">
        <v>13</v>
      </c>
      <c r="C25" s="5">
        <f t="shared" si="0"/>
        <v>58.5</v>
      </c>
      <c r="N25">
        <v>0</v>
      </c>
      <c r="O25">
        <v>6</v>
      </c>
      <c r="P25">
        <v>3</v>
      </c>
    </row>
    <row r="26" spans="1:16" ht="20.100000000000001" customHeight="1" x14ac:dyDescent="0.4">
      <c r="A26" s="10">
        <v>45121.291666666664</v>
      </c>
      <c r="B26">
        <v>16</v>
      </c>
      <c r="C26" s="5">
        <f t="shared" si="0"/>
        <v>74.5</v>
      </c>
      <c r="N26">
        <v>0</v>
      </c>
      <c r="O26">
        <v>7.5</v>
      </c>
      <c r="P26">
        <v>7.5</v>
      </c>
    </row>
    <row r="27" spans="1:16" ht="20.100000000000001" customHeight="1" x14ac:dyDescent="0.4">
      <c r="A27" s="10">
        <v>45121.333333333336</v>
      </c>
      <c r="B27">
        <v>1</v>
      </c>
      <c r="C27" s="5">
        <f t="shared" si="0"/>
        <v>75.5</v>
      </c>
      <c r="N27">
        <v>0</v>
      </c>
      <c r="O27">
        <v>13</v>
      </c>
      <c r="P27">
        <v>3.5</v>
      </c>
    </row>
    <row r="28" spans="1:16" ht="20.100000000000001" customHeight="1" x14ac:dyDescent="0.4">
      <c r="A28" s="10">
        <v>45121.375</v>
      </c>
      <c r="B28">
        <v>4</v>
      </c>
      <c r="C28" s="5">
        <f t="shared" si="0"/>
        <v>79.5</v>
      </c>
      <c r="N28">
        <v>0</v>
      </c>
      <c r="O28">
        <v>16</v>
      </c>
      <c r="P28">
        <v>3</v>
      </c>
    </row>
    <row r="29" spans="1:16" ht="20.100000000000001" customHeight="1" x14ac:dyDescent="0.4">
      <c r="A29" s="10">
        <v>45121.416666666664</v>
      </c>
      <c r="B29">
        <v>3</v>
      </c>
      <c r="C29" s="5">
        <f t="shared" si="0"/>
        <v>82.5</v>
      </c>
      <c r="N29">
        <v>0</v>
      </c>
      <c r="O29">
        <v>1</v>
      </c>
      <c r="P29">
        <v>2.5</v>
      </c>
    </row>
    <row r="30" spans="1:16" ht="20.100000000000001" customHeight="1" x14ac:dyDescent="0.4">
      <c r="A30" s="10">
        <v>45121.458333333336</v>
      </c>
      <c r="B30">
        <v>4</v>
      </c>
      <c r="C30" s="5">
        <f t="shared" si="0"/>
        <v>86.5</v>
      </c>
      <c r="N30">
        <v>0.5</v>
      </c>
      <c r="O30">
        <v>4</v>
      </c>
      <c r="P30">
        <v>4</v>
      </c>
    </row>
    <row r="31" spans="1:16" ht="20.100000000000001" customHeight="1" x14ac:dyDescent="0.4">
      <c r="A31" s="10">
        <v>45121.5</v>
      </c>
      <c r="B31">
        <v>8</v>
      </c>
      <c r="C31" s="5">
        <f t="shared" si="0"/>
        <v>94.5</v>
      </c>
      <c r="N31">
        <v>0</v>
      </c>
      <c r="O31">
        <v>3</v>
      </c>
      <c r="P31">
        <v>2.5</v>
      </c>
    </row>
    <row r="32" spans="1:16" ht="20.100000000000001" customHeight="1" x14ac:dyDescent="0.4">
      <c r="A32" s="10">
        <v>45121.541666666664</v>
      </c>
      <c r="B32">
        <v>10</v>
      </c>
      <c r="C32" s="5">
        <f t="shared" si="0"/>
        <v>104.5</v>
      </c>
      <c r="N32">
        <v>9.5</v>
      </c>
      <c r="O32">
        <v>4</v>
      </c>
      <c r="P32">
        <v>3.5</v>
      </c>
    </row>
    <row r="33" spans="1:16" ht="20.100000000000001" customHeight="1" x14ac:dyDescent="0.4">
      <c r="A33" s="10">
        <v>45121.583333333336</v>
      </c>
      <c r="B33">
        <v>13.5</v>
      </c>
      <c r="C33" s="5">
        <f t="shared" si="0"/>
        <v>118</v>
      </c>
      <c r="N33">
        <v>8</v>
      </c>
      <c r="O33">
        <v>8</v>
      </c>
      <c r="P33">
        <v>0</v>
      </c>
    </row>
    <row r="34" spans="1:16" ht="20.100000000000001" customHeight="1" x14ac:dyDescent="0.4">
      <c r="A34" s="10">
        <v>45121.625</v>
      </c>
      <c r="B34">
        <v>10.5</v>
      </c>
      <c r="C34" s="5">
        <f t="shared" si="0"/>
        <v>128.5</v>
      </c>
      <c r="N34">
        <v>1.5</v>
      </c>
      <c r="O34">
        <v>10</v>
      </c>
      <c r="P34">
        <v>0.5</v>
      </c>
    </row>
    <row r="35" spans="1:16" ht="20.100000000000001" customHeight="1" x14ac:dyDescent="0.4">
      <c r="A35" s="10">
        <v>45121.666666666664</v>
      </c>
      <c r="B35">
        <v>5</v>
      </c>
      <c r="C35" s="5">
        <f t="shared" si="0"/>
        <v>133.5</v>
      </c>
      <c r="N35">
        <v>0</v>
      </c>
      <c r="O35">
        <v>13.5</v>
      </c>
      <c r="P35">
        <v>4</v>
      </c>
    </row>
    <row r="36" spans="1:16" ht="20.100000000000001" customHeight="1" x14ac:dyDescent="0.4">
      <c r="A36" s="10">
        <v>45121.708333333336</v>
      </c>
      <c r="B36">
        <v>3</v>
      </c>
      <c r="C36" s="5">
        <f t="shared" si="0"/>
        <v>136.5</v>
      </c>
      <c r="N36">
        <v>0</v>
      </c>
      <c r="O36">
        <v>10.5</v>
      </c>
      <c r="P36">
        <v>0.5</v>
      </c>
    </row>
    <row r="37" spans="1:16" ht="20.100000000000001" customHeight="1" x14ac:dyDescent="0.4">
      <c r="A37" s="10">
        <v>45121.75</v>
      </c>
      <c r="B37">
        <v>16</v>
      </c>
      <c r="C37" s="5">
        <f t="shared" si="0"/>
        <v>152.5</v>
      </c>
      <c r="N37">
        <v>0</v>
      </c>
      <c r="O37">
        <v>5</v>
      </c>
      <c r="P37">
        <v>1</v>
      </c>
    </row>
    <row r="38" spans="1:16" ht="20.100000000000001" customHeight="1" x14ac:dyDescent="0.4">
      <c r="A38" s="10">
        <v>45121.791666666664</v>
      </c>
      <c r="B38">
        <v>6.5</v>
      </c>
      <c r="C38" s="5">
        <f t="shared" si="0"/>
        <v>159</v>
      </c>
      <c r="N38">
        <v>0</v>
      </c>
      <c r="O38">
        <v>3</v>
      </c>
      <c r="P38">
        <v>2.5</v>
      </c>
    </row>
    <row r="39" spans="1:16" ht="20.100000000000001" customHeight="1" x14ac:dyDescent="0.4">
      <c r="A39" s="10">
        <v>45121.833333333336</v>
      </c>
      <c r="B39">
        <v>3</v>
      </c>
      <c r="C39" s="5">
        <f t="shared" si="0"/>
        <v>162</v>
      </c>
      <c r="N39">
        <v>0.5</v>
      </c>
      <c r="O39">
        <v>16</v>
      </c>
      <c r="P39">
        <v>5.5</v>
      </c>
    </row>
    <row r="40" spans="1:16" ht="20.100000000000001" customHeight="1" x14ac:dyDescent="0.4">
      <c r="A40" s="10">
        <v>45121.875</v>
      </c>
      <c r="B40">
        <v>9</v>
      </c>
      <c r="C40" s="5">
        <f t="shared" si="0"/>
        <v>171</v>
      </c>
      <c r="N40">
        <v>1</v>
      </c>
      <c r="O40">
        <v>6.5</v>
      </c>
      <c r="P40">
        <v>2</v>
      </c>
    </row>
    <row r="41" spans="1:16" ht="20.100000000000001" customHeight="1" x14ac:dyDescent="0.4">
      <c r="A41" s="10">
        <v>45121.916666666664</v>
      </c>
      <c r="B41">
        <v>0</v>
      </c>
      <c r="C41" s="5">
        <f t="shared" si="0"/>
        <v>171</v>
      </c>
      <c r="N41">
        <v>1</v>
      </c>
      <c r="O41">
        <v>3</v>
      </c>
      <c r="P41">
        <v>3</v>
      </c>
    </row>
    <row r="42" spans="1:16" ht="20.100000000000001" customHeight="1" x14ac:dyDescent="0.4">
      <c r="A42" s="10">
        <v>45121.958333333336</v>
      </c>
      <c r="B42">
        <v>2.5</v>
      </c>
      <c r="C42" s="5">
        <f t="shared" si="0"/>
        <v>173.5</v>
      </c>
      <c r="N42">
        <v>0.5</v>
      </c>
      <c r="O42">
        <v>9</v>
      </c>
      <c r="P42">
        <v>0.5</v>
      </c>
    </row>
    <row r="43" spans="1:16" ht="20.100000000000001" customHeight="1" x14ac:dyDescent="0.4">
      <c r="A43" s="10">
        <v>45122</v>
      </c>
      <c r="B43">
        <v>21.5</v>
      </c>
      <c r="C43" s="5">
        <f t="shared" si="0"/>
        <v>195</v>
      </c>
      <c r="N43">
        <v>0</v>
      </c>
      <c r="O43">
        <v>0</v>
      </c>
      <c r="P43">
        <v>0</v>
      </c>
    </row>
    <row r="44" spans="1:16" ht="20.100000000000001" customHeight="1" x14ac:dyDescent="0.4">
      <c r="A44" s="10">
        <v>45122.041666666664</v>
      </c>
      <c r="B44">
        <v>25.5</v>
      </c>
      <c r="C44" s="5">
        <f t="shared" si="0"/>
        <v>220.5</v>
      </c>
      <c r="N44">
        <v>0.5</v>
      </c>
      <c r="O44">
        <v>2.5</v>
      </c>
      <c r="P44">
        <v>0</v>
      </c>
    </row>
    <row r="45" spans="1:16" ht="20.100000000000001" customHeight="1" x14ac:dyDescent="0.4">
      <c r="A45" s="10">
        <v>45122.083333333336</v>
      </c>
      <c r="B45">
        <v>7</v>
      </c>
      <c r="C45" s="5">
        <f t="shared" si="0"/>
        <v>227.5</v>
      </c>
      <c r="N45">
        <v>2</v>
      </c>
      <c r="O45">
        <v>21.5</v>
      </c>
      <c r="P45">
        <v>0</v>
      </c>
    </row>
    <row r="46" spans="1:16" ht="20.100000000000001" customHeight="1" x14ac:dyDescent="0.4">
      <c r="A46" s="10">
        <v>45122.125</v>
      </c>
      <c r="B46">
        <v>4.5</v>
      </c>
      <c r="C46" s="5">
        <f t="shared" si="0"/>
        <v>232</v>
      </c>
      <c r="M46" s="1" t="s">
        <v>27</v>
      </c>
      <c r="N46">
        <f>SUM(N22:N45)</f>
        <v>25</v>
      </c>
      <c r="O46">
        <f>SUM(O22:O45)</f>
        <v>170</v>
      </c>
      <c r="P46">
        <f>SUM(P22:P45)</f>
        <v>86</v>
      </c>
    </row>
    <row r="47" spans="1:16" ht="20.100000000000001" customHeight="1" x14ac:dyDescent="0.4">
      <c r="A47" s="10">
        <v>45122.166666666664</v>
      </c>
      <c r="B47">
        <v>3</v>
      </c>
      <c r="C47" s="5">
        <f t="shared" si="0"/>
        <v>235</v>
      </c>
    </row>
    <row r="48" spans="1:16" ht="20.100000000000001" customHeight="1" x14ac:dyDescent="0.4">
      <c r="A48" s="10">
        <v>45122.208333333336</v>
      </c>
      <c r="B48">
        <v>7.5</v>
      </c>
      <c r="C48" s="5">
        <f t="shared" si="0"/>
        <v>242.5</v>
      </c>
    </row>
    <row r="49" spans="1:3" ht="20.100000000000001" customHeight="1" x14ac:dyDescent="0.4">
      <c r="A49" s="10">
        <v>45122.25</v>
      </c>
      <c r="B49">
        <v>3.5</v>
      </c>
      <c r="C49" s="5">
        <f t="shared" si="0"/>
        <v>246</v>
      </c>
    </row>
    <row r="50" spans="1:3" ht="20.100000000000001" customHeight="1" x14ac:dyDescent="0.4">
      <c r="A50" s="10">
        <v>45122.291666666664</v>
      </c>
      <c r="B50">
        <v>3</v>
      </c>
      <c r="C50" s="5">
        <f t="shared" si="0"/>
        <v>249</v>
      </c>
    </row>
    <row r="51" spans="1:3" ht="20.100000000000001" customHeight="1" x14ac:dyDescent="0.4">
      <c r="A51" s="10">
        <v>45122.333333333336</v>
      </c>
      <c r="B51">
        <v>2.5</v>
      </c>
      <c r="C51" s="5">
        <f t="shared" si="0"/>
        <v>251.5</v>
      </c>
    </row>
    <row r="52" spans="1:3" ht="20.100000000000001" customHeight="1" x14ac:dyDescent="0.4">
      <c r="A52" s="10">
        <v>45122.375</v>
      </c>
      <c r="B52">
        <v>4</v>
      </c>
      <c r="C52" s="5">
        <f t="shared" si="0"/>
        <v>255.5</v>
      </c>
    </row>
    <row r="53" spans="1:3" ht="20.100000000000001" customHeight="1" x14ac:dyDescent="0.4">
      <c r="A53" s="10">
        <v>45122.416666666664</v>
      </c>
      <c r="B53">
        <v>2.5</v>
      </c>
      <c r="C53" s="5">
        <f t="shared" si="0"/>
        <v>258</v>
      </c>
    </row>
    <row r="54" spans="1:3" ht="20.100000000000001" customHeight="1" x14ac:dyDescent="0.4">
      <c r="A54" s="10">
        <v>45122.458333333336</v>
      </c>
      <c r="B54">
        <v>3.5</v>
      </c>
      <c r="C54" s="5">
        <f t="shared" si="0"/>
        <v>261.5</v>
      </c>
    </row>
    <row r="55" spans="1:3" ht="20.100000000000001" customHeight="1" x14ac:dyDescent="0.4">
      <c r="A55" s="10">
        <v>45122.5</v>
      </c>
      <c r="B55">
        <v>0</v>
      </c>
      <c r="C55" s="5">
        <f t="shared" si="0"/>
        <v>261.5</v>
      </c>
    </row>
    <row r="56" spans="1:3" ht="20.100000000000001" customHeight="1" x14ac:dyDescent="0.4">
      <c r="A56" s="10">
        <v>45122.541666666664</v>
      </c>
      <c r="B56">
        <v>0.5</v>
      </c>
      <c r="C56" s="5">
        <f t="shared" si="0"/>
        <v>262</v>
      </c>
    </row>
    <row r="57" spans="1:3" ht="20.100000000000001" customHeight="1" x14ac:dyDescent="0.4">
      <c r="A57" s="10">
        <v>45122.583333333336</v>
      </c>
      <c r="B57">
        <v>4</v>
      </c>
      <c r="C57" s="5">
        <f t="shared" si="0"/>
        <v>266</v>
      </c>
    </row>
    <row r="58" spans="1:3" ht="20.100000000000001" customHeight="1" x14ac:dyDescent="0.4">
      <c r="A58" s="10">
        <v>45122.625</v>
      </c>
      <c r="B58">
        <v>0.5</v>
      </c>
      <c r="C58" s="5">
        <f t="shared" si="0"/>
        <v>266.5</v>
      </c>
    </row>
    <row r="59" spans="1:3" ht="20.100000000000001" customHeight="1" x14ac:dyDescent="0.4">
      <c r="A59" s="10">
        <v>45122.666666666664</v>
      </c>
      <c r="B59">
        <v>1</v>
      </c>
      <c r="C59" s="5">
        <f t="shared" si="0"/>
        <v>267.5</v>
      </c>
    </row>
    <row r="60" spans="1:3" ht="20.100000000000001" customHeight="1" x14ac:dyDescent="0.4">
      <c r="A60" s="10">
        <v>45122.708333333336</v>
      </c>
      <c r="B60">
        <v>2.5</v>
      </c>
      <c r="C60" s="5">
        <f t="shared" si="0"/>
        <v>270</v>
      </c>
    </row>
    <row r="61" spans="1:3" ht="20.100000000000001" customHeight="1" x14ac:dyDescent="0.4">
      <c r="A61" s="10">
        <v>45122.75</v>
      </c>
      <c r="B61">
        <v>5.5</v>
      </c>
      <c r="C61" s="5">
        <f t="shared" si="0"/>
        <v>275.5</v>
      </c>
    </row>
    <row r="62" spans="1:3" ht="20.100000000000001" customHeight="1" x14ac:dyDescent="0.4">
      <c r="A62" s="10">
        <v>45122.791666666664</v>
      </c>
      <c r="B62">
        <v>2</v>
      </c>
      <c r="C62" s="5">
        <f t="shared" si="0"/>
        <v>277.5</v>
      </c>
    </row>
    <row r="63" spans="1:3" ht="20.100000000000001" customHeight="1" x14ac:dyDescent="0.4">
      <c r="A63" s="10">
        <v>45122.833333333336</v>
      </c>
      <c r="B63">
        <v>3</v>
      </c>
      <c r="C63" s="5">
        <f t="shared" si="0"/>
        <v>280.5</v>
      </c>
    </row>
    <row r="64" spans="1:3" ht="20.100000000000001" customHeight="1" x14ac:dyDescent="0.4">
      <c r="A64" s="10">
        <v>45122.875</v>
      </c>
      <c r="B64">
        <v>0.5</v>
      </c>
      <c r="C64" s="5">
        <f t="shared" si="0"/>
        <v>281</v>
      </c>
    </row>
    <row r="65" spans="1:25" ht="20.100000000000001" customHeight="1" x14ac:dyDescent="0.4">
      <c r="A65" s="2" t="s">
        <v>1</v>
      </c>
      <c r="B65" s="3">
        <f>SUM(B4:B64)</f>
        <v>281</v>
      </c>
      <c r="C65" s="3">
        <f>C64</f>
        <v>281</v>
      </c>
    </row>
    <row r="70" spans="1:25" ht="20.100000000000001" customHeight="1" x14ac:dyDescent="0.4">
      <c r="B70">
        <v>0</v>
      </c>
      <c r="C70">
        <v>0</v>
      </c>
      <c r="D70">
        <v>0</v>
      </c>
      <c r="E70">
        <v>0.5</v>
      </c>
      <c r="F70">
        <v>6</v>
      </c>
      <c r="G70">
        <v>15</v>
      </c>
      <c r="H70">
        <v>68</v>
      </c>
      <c r="I70">
        <v>30</v>
      </c>
      <c r="J70">
        <v>53.5</v>
      </c>
      <c r="K70">
        <v>47.5</v>
      </c>
      <c r="L70">
        <v>15</v>
      </c>
      <c r="M70">
        <v>16.5</v>
      </c>
      <c r="N70">
        <v>21.5</v>
      </c>
      <c r="O70">
        <v>10.5</v>
      </c>
      <c r="P70">
        <v>7</v>
      </c>
      <c r="Q70">
        <v>9.5</v>
      </c>
      <c r="R70">
        <v>7.5</v>
      </c>
      <c r="S70">
        <v>0.5</v>
      </c>
      <c r="T70">
        <v>0</v>
      </c>
      <c r="U70">
        <v>0</v>
      </c>
      <c r="V70">
        <v>0</v>
      </c>
      <c r="W70">
        <v>1.5</v>
      </c>
      <c r="X70">
        <v>0</v>
      </c>
      <c r="Y70">
        <v>0</v>
      </c>
    </row>
  </sheetData>
  <mergeCells count="3">
    <mergeCell ref="A2:A3"/>
    <mergeCell ref="B2:C2"/>
    <mergeCell ref="B3:C3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우량주상도(2011.08.08</vt:lpstr>
      <vt:lpstr>우량주상도(2017년)</vt:lpstr>
      <vt:lpstr>우량주상도(2020.07.13)</vt:lpstr>
      <vt:lpstr>우량주상도(2023.07.14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2012-09-19T05:34:35Z</dcterms:created>
  <dcterms:modified xsi:type="dcterms:W3CDTF">2026-05-19T00:48:06Z</dcterms:modified>
</cp:coreProperties>
</file>