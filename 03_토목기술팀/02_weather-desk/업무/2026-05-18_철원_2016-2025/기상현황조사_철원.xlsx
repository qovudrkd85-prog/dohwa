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기온" sheetId="1" r:id="rId1"/>
    <sheet name="강수량" sheetId="2" r:id="rId2"/>
    <sheet name="풍속" sheetId="3" r:id="rId3"/>
    <sheet name="상대습도" sheetId="4" r:id="rId4"/>
    <sheet name="일조량" sheetId="5" r:id="rId5"/>
  </sheets>
  <calcPr calcId="124519" fullCalcOnLoad="1"/>
</workbook>
</file>

<file path=xl/sharedStrings.xml><?xml version="1.0" encoding="utf-8"?>
<sst xmlns="http://schemas.openxmlformats.org/spreadsheetml/2006/main" count="225" uniqueCount="42">
  <si>
    <t>평균기온(°C)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</si>
  <si>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</si>
  <si>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</si>
  <si>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</si>
  <si>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</si>
  <si>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</si>
  <si>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</si>
  <si>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</si>
  <si>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</si>
  <si>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</si>
  <si>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</si>
  <si>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</si>
  <si>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</si>
  <si>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</si>
  <si>
    <t>최고기온(°C)</t>
  </si>
  <si>
    <t>최저기온(°C)</t>
  </si>
  <si>
    <t>보고서 삽입용</t>
  </si>
  <si>
    <t>구분</t>
  </si>
  <si>
    <t>연간</t>
  </si>
  <si>
    <t>평균기온</t>
  </si>
  <si>
    <t>최고기온</t>
  </si>
  <si>
    <t>최저기온</t>
  </si>
  <si>
    <t>월 강수량(0.1mm)</t>
  </si>
  <si>
    <t>합계</t>
  </si>
  <si>
    <t>강수량</t>
  </si>
  <si>
    <t>6~9월 강수량 분석</t>
  </si>
  <si>
    <t>6~9월 합계</t>
  </si>
  <si>
    <t>연간 합계</t>
  </si>
  <si>
    <t>비중 (%)</t>
  </si>
  <si>
    <t>평균 풍속(m/s)</t>
  </si>
  <si>
    <t>최대 풍속(m/s)</t>
  </si>
  <si>
    <t>최대</t>
  </si>
  <si>
    <t>풍속 분석</t>
  </si>
  <si>
    <t>풍속최대</t>
  </si>
  <si>
    <t>해당 월</t>
  </si>
  <si>
    <t>상대습도(%)</t>
  </si>
  <si>
    <t>습도 분석</t>
  </si>
  <si>
    <t>홍수기(6~9월) 평균습도</t>
  </si>
  <si>
    <t>총 일조시간(0.1hr)</t>
  </si>
  <si>
    <t>일조량 분석</t>
  </si>
  <si>
    <t>최대 월</t>
  </si>
  <si>
    <t>최대값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</si>
</sst>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D4ED8"/>
      <name val="Calibri"/>
      <family val="2"/>
      <scheme val="minor"/>
    </font>
    <font>
      <b/>
      <sz val="11"/>
      <color rgb="FFDC262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0" fontId="4" fillId="0" borderId="0" xfId="0" applyFont="1"/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/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기온 (°C)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평균기온</c:v>
          </c:tx>
          <c:spPr>
            <a:solidFill>
              <a:srgbClr val="84CC16"/>
            </a:solidFill>
          </c:spP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10001"/>
        <c:axId val="50010002"/>
      </c:barChart>
      <c:lineChart>
        <c:grouping val="standard"/>
        <c:ser>
          <c:idx val="1"/>
          <c:order val="1"/>
          <c:tx>
            <c:v>최고기온</c:v>
          </c:tx>
          <c:spPr>
            <a:ln w="25400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최저기온</c:v>
          </c:tx>
          <c:spPr>
            <a:ln w="25400">
              <a:solidFill>
                <a:srgbClr val="2563EB"/>
              </a:solidFill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cat>
            <c:strRef>
              <c:f>기온!$B$2:$M$2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기온!$B$41:$M$41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기온(°C)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강수량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강수량</c:v>
          </c:tx>
          <c:spPr>
            <a:solidFill>
              <a:srgbClr val="2563EB"/>
            </a:solidFill>
          </c:spPr>
          <c:cat>
            <c:strRef>
              <c:f>강수량!$B$2:$M$2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강수량!$B$13:$M$13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월 강수량(0.1mm)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풍속 (m/s)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평균풍속</c:v>
          </c:tx>
          <c:spPr>
            <a:solidFill>
              <a:srgbClr val="2563EB"/>
            </a:solidFill>
          </c:spPr>
          <c:cat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풍속!$B$13:$M$13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30001"/>
        <c:axId val="50030002"/>
      </c:barChart>
      <c:scatterChart>
        <c:scatterStyle val="lineMarker"/>
        <c:ser>
          <c:idx val="1"/>
          <c:order val="1"/>
          <c:tx>
            <c:v>최대풍속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580C"/>
              </a:solidFill>
            </c:spPr>
          </c:marker>
          <c:xVal>
            <c:strRef>
              <c:f>풍속!$B$2:$M$2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xVal>
          <c:yVal>
            <c:numRef>
              <c:f>풍속!$B$27:$M$27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</c:ser>
        <c:axId val="50030001"/>
        <c:axId val="50030002"/>
      </c:scatte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풍속(m/s)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상대습도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상대습도!$B$2:$M$2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상대습도!$B$13:$M$13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상대습도(%)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일조량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평균</c:v>
          </c:tx>
          <c:spPr>
            <a:solidFill>
              <a:srgbClr val="2563EB"/>
            </a:solidFill>
          </c:spPr>
          <c:cat>
            <c:strRef>
              <c:f>일조량!$B$2:$M$2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일조량!$B$13:$M$13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총 일조시간(0.1hr)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9</xdr:col>
      <xdr:colOff>561975</xdr:colOff>
      <xdr:row>69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9</xdr:col>
      <xdr:colOff>295275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9</xdr:col>
      <xdr:colOff>561975</xdr:colOff>
      <xdr:row>57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9</xdr:col>
      <xdr:colOff>295275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295275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0</v>
      </c>
    </row>
    <row r="2" spans="1:1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-6</v>
      </c>
      <c r="C3" s="4">
        <v>-2.2</v>
      </c>
      <c r="D3" s="4">
        <v>4.7</v>
      </c>
      <c r="E3" s="4">
        <v>12.6</v>
      </c>
      <c r="F3" s="4">
        <v>17.7</v>
      </c>
      <c r="G3" s="4">
        <v>22.1</v>
      </c>
      <c r="H3" s="4">
        <v>24.1</v>
      </c>
      <c r="I3" s="4">
        <v>25.3</v>
      </c>
      <c r="J3" s="4">
        <v>20.2</v>
      </c>
      <c r="K3" s="4">
        <v>13.4</v>
      </c>
      <c r="L3" s="4">
        <v>4.3</v>
      </c>
      <c r="M3" s="4">
        <v>-1.4</v>
      </c>
      <c r="N3" s="4">
        <f>AVERAGE(B3:M3)</f>
        <v>0</v>
      </c>
    </row>
    <row r="4" spans="1:14">
      <c r="A4" s="3">
        <v>2017</v>
      </c>
      <c r="B4" s="4">
        <v>-4.4</v>
      </c>
      <c r="C4" s="4">
        <v>-2.6</v>
      </c>
      <c r="D4" s="4">
        <v>3.5</v>
      </c>
      <c r="E4" s="4">
        <v>12.1</v>
      </c>
      <c r="F4" s="4">
        <v>17.7</v>
      </c>
      <c r="G4" s="4">
        <v>21.3</v>
      </c>
      <c r="H4" s="4">
        <v>25.5</v>
      </c>
      <c r="I4" s="4">
        <v>23.6</v>
      </c>
      <c r="J4" s="4">
        <v>18.8</v>
      </c>
      <c r="K4" s="4">
        <v>12.8</v>
      </c>
      <c r="L4" s="4">
        <v>2.7</v>
      </c>
      <c r="M4" s="4">
        <v>-4.9</v>
      </c>
      <c r="N4" s="4">
        <f>AVERAGE(B4:M4)</f>
        <v>0</v>
      </c>
    </row>
    <row r="5" spans="1:14">
      <c r="A5" s="3">
        <v>2018</v>
      </c>
      <c r="B5" s="4">
        <v>-7.3</v>
      </c>
      <c r="C5" s="4">
        <v>-4.4</v>
      </c>
      <c r="D5" s="4">
        <v>6.2</v>
      </c>
      <c r="E5" s="4">
        <v>11.2</v>
      </c>
      <c r="F5" s="4">
        <v>16.8</v>
      </c>
      <c r="G5" s="4">
        <v>21.7</v>
      </c>
      <c r="H5" s="4">
        <v>25.4</v>
      </c>
      <c r="I5" s="4">
        <v>26.3</v>
      </c>
      <c r="J5" s="4">
        <v>18.8</v>
      </c>
      <c r="K5" s="4">
        <v>9.9</v>
      </c>
      <c r="L5" s="4">
        <v>4.5</v>
      </c>
      <c r="M5" s="4">
        <v>-4</v>
      </c>
      <c r="N5" s="4">
        <f>AVERAGE(B5:M5)</f>
        <v>0</v>
      </c>
    </row>
    <row r="6" spans="1:14">
      <c r="A6" s="3">
        <v>2019</v>
      </c>
      <c r="B6" s="4">
        <v>-4.9</v>
      </c>
      <c r="C6" s="4">
        <v>-1.7</v>
      </c>
      <c r="D6" s="4">
        <v>4.5</v>
      </c>
      <c r="E6" s="4">
        <v>9.9</v>
      </c>
      <c r="F6" s="4">
        <v>17.8</v>
      </c>
      <c r="G6" s="4">
        <v>20.9</v>
      </c>
      <c r="H6" s="4">
        <v>24.2</v>
      </c>
      <c r="I6" s="4">
        <v>24.8</v>
      </c>
      <c r="J6" s="4">
        <v>20</v>
      </c>
      <c r="K6" s="4">
        <v>13.7</v>
      </c>
      <c r="L6" s="4">
        <v>4.5</v>
      </c>
      <c r="M6" s="4">
        <v>-1.1</v>
      </c>
      <c r="N6" s="4">
        <f>AVERAGE(B6:M6)</f>
        <v>0</v>
      </c>
    </row>
    <row r="7" spans="1:14">
      <c r="A7" s="3">
        <v>2020</v>
      </c>
      <c r="B7" s="4">
        <v>-1.2</v>
      </c>
      <c r="C7" s="4">
        <v>0</v>
      </c>
      <c r="D7" s="4">
        <v>5.5</v>
      </c>
      <c r="E7" s="4">
        <v>9.1</v>
      </c>
      <c r="F7" s="4">
        <v>16.9</v>
      </c>
      <c r="G7" s="4">
        <v>22.5</v>
      </c>
      <c r="H7" s="4">
        <v>22.8</v>
      </c>
      <c r="I7" s="4">
        <v>25.1</v>
      </c>
      <c r="J7" s="4">
        <v>18.8</v>
      </c>
      <c r="K7" s="4">
        <v>10.9</v>
      </c>
      <c r="L7" s="4">
        <v>5</v>
      </c>
      <c r="M7" s="4">
        <v>-3.9</v>
      </c>
      <c r="N7" s="4">
        <f>AVERAGE(B7:M7)</f>
        <v>0</v>
      </c>
    </row>
    <row r="8" spans="1:14">
      <c r="A8" s="3">
        <v>2021</v>
      </c>
      <c r="B8" s="4">
        <v>-5.9</v>
      </c>
      <c r="C8" s="4">
        <v>0.1</v>
      </c>
      <c r="D8" s="4">
        <v>6.2</v>
      </c>
      <c r="E8" s="4">
        <v>12</v>
      </c>
      <c r="F8" s="4">
        <v>15.5</v>
      </c>
      <c r="G8" s="4">
        <v>21.2</v>
      </c>
      <c r="H8" s="4">
        <v>26.1</v>
      </c>
      <c r="I8" s="4">
        <v>23.6</v>
      </c>
      <c r="J8" s="4">
        <v>20.3</v>
      </c>
      <c r="K8" s="4">
        <v>12.7</v>
      </c>
      <c r="L8" s="4">
        <v>5.3</v>
      </c>
      <c r="M8" s="4">
        <v>-2.1</v>
      </c>
      <c r="N8" s="4">
        <f>AVERAGE(B8:M8)</f>
        <v>0</v>
      </c>
    </row>
    <row r="9" spans="1:14">
      <c r="A9" s="3">
        <v>2022</v>
      </c>
      <c r="B9" s="4">
        <v>-5.8</v>
      </c>
      <c r="C9" s="4">
        <v>-3.9</v>
      </c>
      <c r="D9" s="4">
        <v>5.2</v>
      </c>
      <c r="E9" s="4">
        <v>12.6</v>
      </c>
      <c r="F9" s="4">
        <v>16.7</v>
      </c>
      <c r="G9" s="4">
        <v>21.2</v>
      </c>
      <c r="H9" s="4">
        <v>25.2</v>
      </c>
      <c r="I9" s="4">
        <v>24</v>
      </c>
      <c r="J9" s="4">
        <v>19.4</v>
      </c>
      <c r="K9" s="4">
        <v>11.4</v>
      </c>
      <c r="L9" s="4">
        <v>6.6</v>
      </c>
      <c r="M9" s="4">
        <v>-6.8</v>
      </c>
      <c r="N9" s="4">
        <f>AVERAGE(B9:M9)</f>
        <v>0</v>
      </c>
    </row>
    <row r="10" spans="1:14">
      <c r="A10" s="3">
        <v>2023</v>
      </c>
      <c r="B10" s="4">
        <v>-5.8</v>
      </c>
      <c r="C10" s="4">
        <v>-0.9</v>
      </c>
      <c r="D10" s="4">
        <v>6.7</v>
      </c>
      <c r="E10" s="4">
        <v>11.7</v>
      </c>
      <c r="F10" s="4">
        <v>17.4</v>
      </c>
      <c r="G10" s="4">
        <v>21.7</v>
      </c>
      <c r="H10" s="4">
        <v>25.4</v>
      </c>
      <c r="I10" s="4">
        <v>25.1</v>
      </c>
      <c r="J10" s="4">
        <v>21.3</v>
      </c>
      <c r="K10" s="4">
        <v>12.4</v>
      </c>
      <c r="L10" s="4">
        <v>4.3</v>
      </c>
      <c r="M10" s="4">
        <v>-1.9</v>
      </c>
      <c r="N10" s="4">
        <f>AVERAGE(B10:M10)</f>
        <v>0</v>
      </c>
    </row>
    <row r="11" spans="1:14">
      <c r="A11" s="3">
        <v>2024</v>
      </c>
      <c r="B11" s="4">
        <v>-3.3</v>
      </c>
      <c r="C11" s="4">
        <v>1.2</v>
      </c>
      <c r="D11" s="4">
        <v>4.4</v>
      </c>
      <c r="E11" s="4">
        <v>14.2</v>
      </c>
      <c r="F11" s="4">
        <v>16.6</v>
      </c>
      <c r="G11" s="4">
        <v>22.7</v>
      </c>
      <c r="H11" s="4">
        <v>25.3</v>
      </c>
      <c r="I11" s="4">
        <v>27.2</v>
      </c>
      <c r="J11" s="4">
        <v>22.6</v>
      </c>
      <c r="K11" s="4">
        <v>13.5</v>
      </c>
      <c r="L11" s="4">
        <v>6.5</v>
      </c>
      <c r="M11" s="4">
        <v>-3.1</v>
      </c>
      <c r="N11" s="4">
        <f>AVERAGE(B11:M11)</f>
        <v>0</v>
      </c>
    </row>
    <row r="12" spans="1:14">
      <c r="A12" s="3">
        <v>2025</v>
      </c>
      <c r="B12" s="4">
        <v>-4.5</v>
      </c>
      <c r="C12" s="4">
        <v>-4.3</v>
      </c>
      <c r="D12" s="4">
        <v>5.1</v>
      </c>
      <c r="E12" s="4">
        <v>11.5</v>
      </c>
      <c r="F12" s="4">
        <v>16</v>
      </c>
      <c r="G12" s="4">
        <v>22.3</v>
      </c>
      <c r="H12" s="4">
        <v>26.1</v>
      </c>
      <c r="I12" s="4">
        <v>26.3</v>
      </c>
      <c r="J12" s="4">
        <v>21.2</v>
      </c>
      <c r="K12" s="4">
        <v>14.2</v>
      </c>
      <c r="L12" s="4">
        <v>5.6</v>
      </c>
      <c r="M12" s="4">
        <v>-1.9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14</v>
      </c>
    </row>
    <row r="16" spans="1:14">
      <c r="A16" s="2" t="s">
        <v>14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0</v>
      </c>
      <c r="C17" s="4">
        <v>4.1</v>
      </c>
      <c r="D17" s="4">
        <v>11.7</v>
      </c>
      <c r="E17" s="4">
        <v>20</v>
      </c>
      <c r="F17" s="4">
        <v>24.6</v>
      </c>
      <c r="G17" s="4">
        <v>28</v>
      </c>
      <c r="H17" s="4">
        <v>28.8</v>
      </c>
      <c r="I17" s="4">
        <v>31</v>
      </c>
      <c r="J17" s="4">
        <v>26.7</v>
      </c>
      <c r="K17" s="4">
        <v>19.9</v>
      </c>
      <c r="L17" s="4">
        <v>10.2</v>
      </c>
      <c r="M17" s="4">
        <v>4.3</v>
      </c>
      <c r="N17" s="4">
        <f>AVERAGE(B17:M17)</f>
        <v>0</v>
      </c>
    </row>
    <row r="18" spans="1:14">
      <c r="A18" s="3">
        <v>2017</v>
      </c>
      <c r="B18" s="4">
        <v>2</v>
      </c>
      <c r="C18" s="4">
        <v>3.7</v>
      </c>
      <c r="D18" s="4">
        <v>10.8</v>
      </c>
      <c r="E18" s="4">
        <v>19.3</v>
      </c>
      <c r="F18" s="4">
        <v>24.4</v>
      </c>
      <c r="G18" s="4">
        <v>27.7</v>
      </c>
      <c r="H18" s="4">
        <v>29.7</v>
      </c>
      <c r="I18" s="4">
        <v>28.5</v>
      </c>
      <c r="J18" s="4">
        <v>25.8</v>
      </c>
      <c r="K18" s="4">
        <v>20.2</v>
      </c>
      <c r="L18" s="4">
        <v>8.699999999999999</v>
      </c>
      <c r="M18" s="4">
        <v>0.4</v>
      </c>
      <c r="N18" s="4">
        <f>AVERAGE(B18:M18)</f>
        <v>0</v>
      </c>
    </row>
    <row r="19" spans="1:14">
      <c r="A19" s="3">
        <v>2018</v>
      </c>
      <c r="B19" s="4">
        <v>-1.2</v>
      </c>
      <c r="C19" s="4">
        <v>2.1</v>
      </c>
      <c r="D19" s="4">
        <v>12.8</v>
      </c>
      <c r="E19" s="4">
        <v>17.9</v>
      </c>
      <c r="F19" s="4">
        <v>22.8</v>
      </c>
      <c r="G19" s="4">
        <v>27.8</v>
      </c>
      <c r="H19" s="4">
        <v>30.4</v>
      </c>
      <c r="I19" s="4">
        <v>31.8</v>
      </c>
      <c r="J19" s="4">
        <v>25.2</v>
      </c>
      <c r="K19" s="4">
        <v>17.2</v>
      </c>
      <c r="L19" s="4">
        <v>11.4</v>
      </c>
      <c r="M19" s="4">
        <v>2.6</v>
      </c>
      <c r="N19" s="4">
        <f>AVERAGE(B19:M19)</f>
        <v>0</v>
      </c>
    </row>
    <row r="20" spans="1:14">
      <c r="A20" s="3">
        <v>2019</v>
      </c>
      <c r="B20" s="4">
        <v>2.6</v>
      </c>
      <c r="C20" s="4">
        <v>5</v>
      </c>
      <c r="D20" s="4">
        <v>11.3</v>
      </c>
      <c r="E20" s="4">
        <v>17.2</v>
      </c>
      <c r="F20" s="4">
        <v>25.3</v>
      </c>
      <c r="G20" s="4">
        <v>26.9</v>
      </c>
      <c r="H20" s="4">
        <v>29.1</v>
      </c>
      <c r="I20" s="4">
        <v>30.1</v>
      </c>
      <c r="J20" s="4">
        <v>25.8</v>
      </c>
      <c r="K20" s="4">
        <v>20.3</v>
      </c>
      <c r="L20" s="4">
        <v>11.9</v>
      </c>
      <c r="M20" s="4">
        <v>4</v>
      </c>
      <c r="N20" s="4">
        <f>AVERAGE(B20:M20)</f>
        <v>0</v>
      </c>
    </row>
    <row r="21" spans="1:14">
      <c r="A21" s="3">
        <v>2020</v>
      </c>
      <c r="B21" s="4">
        <v>4.8</v>
      </c>
      <c r="C21" s="4">
        <v>6</v>
      </c>
      <c r="D21" s="4">
        <v>12.6</v>
      </c>
      <c r="E21" s="4">
        <v>16.4</v>
      </c>
      <c r="F21" s="4">
        <v>22.6</v>
      </c>
      <c r="G21" s="4">
        <v>28.2</v>
      </c>
      <c r="H21" s="4">
        <v>27.5</v>
      </c>
      <c r="I21" s="4">
        <v>28.7</v>
      </c>
      <c r="J21" s="4">
        <v>24.4</v>
      </c>
      <c r="K21" s="4">
        <v>18.5</v>
      </c>
      <c r="L21" s="4">
        <v>11.4</v>
      </c>
      <c r="M21" s="4">
        <v>2.1</v>
      </c>
      <c r="N21" s="4">
        <f>AVERAGE(B21:M21)</f>
        <v>0</v>
      </c>
    </row>
    <row r="22" spans="1:14">
      <c r="A22" s="3">
        <v>2021</v>
      </c>
      <c r="B22" s="4">
        <v>0.7</v>
      </c>
      <c r="C22" s="4">
        <v>6.8</v>
      </c>
      <c r="D22" s="4">
        <v>13.4</v>
      </c>
      <c r="E22" s="4">
        <v>18.7</v>
      </c>
      <c r="F22" s="4">
        <v>21.8</v>
      </c>
      <c r="G22" s="4">
        <v>26.8</v>
      </c>
      <c r="H22" s="4">
        <v>31.7</v>
      </c>
      <c r="I22" s="4">
        <v>28.7</v>
      </c>
      <c r="J22" s="4">
        <v>26</v>
      </c>
      <c r="K22" s="4">
        <v>19.2</v>
      </c>
      <c r="L22" s="4">
        <v>12</v>
      </c>
      <c r="M22" s="4">
        <v>3.6</v>
      </c>
      <c r="N22" s="4">
        <f>AVERAGE(B22:M22)</f>
        <v>0</v>
      </c>
    </row>
    <row r="23" spans="1:14">
      <c r="A23" s="3">
        <v>2022</v>
      </c>
      <c r="B23" s="4">
        <v>1.3</v>
      </c>
      <c r="C23" s="4">
        <v>2.8</v>
      </c>
      <c r="D23" s="4">
        <v>11.6</v>
      </c>
      <c r="E23" s="4">
        <v>19.9</v>
      </c>
      <c r="F23" s="4">
        <v>23.8</v>
      </c>
      <c r="G23" s="4">
        <v>25.8</v>
      </c>
      <c r="H23" s="4">
        <v>29.9</v>
      </c>
      <c r="I23" s="4">
        <v>28.2</v>
      </c>
      <c r="J23" s="4">
        <v>25.9</v>
      </c>
      <c r="K23" s="4">
        <v>18.3</v>
      </c>
      <c r="L23" s="4">
        <v>13.9</v>
      </c>
      <c r="M23" s="4">
        <v>-0.6</v>
      </c>
      <c r="N23" s="4">
        <f>AVERAGE(B23:M23)</f>
        <v>0</v>
      </c>
    </row>
    <row r="24" spans="1:14">
      <c r="A24" s="3">
        <v>2023</v>
      </c>
      <c r="B24" s="4">
        <v>0.7</v>
      </c>
      <c r="C24" s="4">
        <v>5.7</v>
      </c>
      <c r="D24" s="4">
        <v>15.1</v>
      </c>
      <c r="E24" s="4">
        <v>17.9</v>
      </c>
      <c r="F24" s="4">
        <v>24</v>
      </c>
      <c r="G24" s="4">
        <v>27.3</v>
      </c>
      <c r="H24" s="4">
        <v>30.1</v>
      </c>
      <c r="I24" s="4">
        <v>29.8</v>
      </c>
      <c r="J24" s="4">
        <v>26.8</v>
      </c>
      <c r="K24" s="4">
        <v>19.7</v>
      </c>
      <c r="L24" s="4">
        <v>9.800000000000001</v>
      </c>
      <c r="M24" s="4">
        <v>3.3</v>
      </c>
      <c r="N24" s="4">
        <f>AVERAGE(B24:M24)</f>
        <v>0</v>
      </c>
    </row>
    <row r="25" spans="1:14">
      <c r="A25" s="3">
        <v>2024</v>
      </c>
      <c r="B25" s="4">
        <v>2.1</v>
      </c>
      <c r="C25" s="4">
        <v>6.7</v>
      </c>
      <c r="D25" s="4">
        <v>11</v>
      </c>
      <c r="E25" s="4">
        <v>21.7</v>
      </c>
      <c r="F25" s="4">
        <v>23</v>
      </c>
      <c r="G25" s="4">
        <v>29.2</v>
      </c>
      <c r="H25" s="4">
        <v>29.1</v>
      </c>
      <c r="I25" s="4">
        <v>32.5</v>
      </c>
      <c r="J25" s="4">
        <v>27.9</v>
      </c>
      <c r="K25" s="4">
        <v>19.9</v>
      </c>
      <c r="L25" s="4">
        <v>13.8</v>
      </c>
      <c r="M25" s="4">
        <v>3.2</v>
      </c>
      <c r="N25" s="4">
        <f>AVERAGE(B25:M25)</f>
        <v>0</v>
      </c>
    </row>
    <row r="26" spans="1:14">
      <c r="A26" s="3">
        <v>2025</v>
      </c>
      <c r="B26" s="4">
        <v>1.5</v>
      </c>
      <c r="C26" s="4">
        <v>2.1</v>
      </c>
      <c r="D26" s="4">
        <v>12.4</v>
      </c>
      <c r="E26" s="4">
        <v>18.7</v>
      </c>
      <c r="F26" s="4">
        <v>21.8</v>
      </c>
      <c r="G26" s="4">
        <v>27.7</v>
      </c>
      <c r="H26" s="4">
        <v>31</v>
      </c>
      <c r="I26" s="4">
        <v>30.9</v>
      </c>
      <c r="J26" s="4">
        <v>26.4</v>
      </c>
      <c r="K26" s="4">
        <v>19.2</v>
      </c>
      <c r="L26" s="4">
        <v>12.6</v>
      </c>
      <c r="M26" s="4">
        <v>2.7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1" t="s">
        <v>15</v>
      </c>
    </row>
    <row r="30" spans="1:14">
      <c r="A30" s="2" t="s">
        <v>15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  <c r="M30" s="2" t="s">
        <v>12</v>
      </c>
      <c r="N30" s="2" t="s">
        <v>13</v>
      </c>
    </row>
    <row r="31" spans="1:14">
      <c r="A31" s="3">
        <v>2016</v>
      </c>
      <c r="B31" s="4">
        <v>-12.2</v>
      </c>
      <c r="C31" s="4">
        <v>-8.699999999999999</v>
      </c>
      <c r="D31" s="4">
        <v>-2.4</v>
      </c>
      <c r="E31" s="4">
        <v>5.2</v>
      </c>
      <c r="F31" s="4">
        <v>10.9</v>
      </c>
      <c r="G31" s="4">
        <v>16.8</v>
      </c>
      <c r="H31" s="4">
        <v>20.2</v>
      </c>
      <c r="I31" s="4">
        <v>20.7</v>
      </c>
      <c r="J31" s="4">
        <v>15.1</v>
      </c>
      <c r="K31" s="4">
        <v>7.6</v>
      </c>
      <c r="L31" s="4">
        <v>-1.2</v>
      </c>
      <c r="M31" s="4">
        <v>-6.6</v>
      </c>
      <c r="N31" s="4">
        <f>AVERAGE(B31:M31)</f>
        <v>0</v>
      </c>
    </row>
    <row r="32" spans="1:14">
      <c r="A32" s="3">
        <v>2017</v>
      </c>
      <c r="B32" s="4">
        <v>-10.4</v>
      </c>
      <c r="C32" s="4">
        <v>-9.199999999999999</v>
      </c>
      <c r="D32" s="4">
        <v>-3.4</v>
      </c>
      <c r="E32" s="4">
        <v>4.8</v>
      </c>
      <c r="F32" s="4">
        <v>10.9</v>
      </c>
      <c r="G32" s="4">
        <v>15</v>
      </c>
      <c r="H32" s="4">
        <v>22.1</v>
      </c>
      <c r="I32" s="4">
        <v>19.5</v>
      </c>
      <c r="J32" s="4">
        <v>12.6</v>
      </c>
      <c r="K32" s="4">
        <v>6.5</v>
      </c>
      <c r="L32" s="4">
        <v>-3.7</v>
      </c>
      <c r="M32" s="4">
        <v>-10.8</v>
      </c>
      <c r="N32" s="4">
        <f>AVERAGE(B32:M32)</f>
        <v>0</v>
      </c>
    </row>
    <row r="33" spans="1:14">
      <c r="A33" s="3">
        <v>2018</v>
      </c>
      <c r="B33" s="4">
        <v>-13.3</v>
      </c>
      <c r="C33" s="4">
        <v>-11.5</v>
      </c>
      <c r="D33" s="4">
        <v>-0.4</v>
      </c>
      <c r="E33" s="4">
        <v>4.4</v>
      </c>
      <c r="F33" s="4">
        <v>10.9</v>
      </c>
      <c r="G33" s="4">
        <v>16</v>
      </c>
      <c r="H33" s="4">
        <v>21.3</v>
      </c>
      <c r="I33" s="4">
        <v>21.8</v>
      </c>
      <c r="J33" s="4">
        <v>13</v>
      </c>
      <c r="K33" s="4">
        <v>3.7</v>
      </c>
      <c r="L33" s="4">
        <v>-1</v>
      </c>
      <c r="M33" s="4">
        <v>-10.1</v>
      </c>
      <c r="N33" s="4">
        <f>AVERAGE(B33:M33)</f>
        <v>0</v>
      </c>
    </row>
    <row r="34" spans="1:14">
      <c r="A34" s="3">
        <v>2019</v>
      </c>
      <c r="B34" s="4">
        <v>-12.5</v>
      </c>
      <c r="C34" s="4">
        <v>-8.199999999999999</v>
      </c>
      <c r="D34" s="4">
        <v>-2.4</v>
      </c>
      <c r="E34" s="4">
        <v>2.2</v>
      </c>
      <c r="F34" s="4">
        <v>10</v>
      </c>
      <c r="G34" s="4">
        <v>15.3</v>
      </c>
      <c r="H34" s="4">
        <v>20.3</v>
      </c>
      <c r="I34" s="4">
        <v>20.4</v>
      </c>
      <c r="J34" s="4">
        <v>15.3</v>
      </c>
      <c r="K34" s="4">
        <v>7.6</v>
      </c>
      <c r="L34" s="4">
        <v>-1.5</v>
      </c>
      <c r="M34" s="4">
        <v>-6</v>
      </c>
      <c r="N34" s="4">
        <f>AVERAGE(B34:M34)</f>
        <v>0</v>
      </c>
    </row>
    <row r="35" spans="1:14">
      <c r="A35" s="3">
        <v>2020</v>
      </c>
      <c r="B35" s="4">
        <v>-6.2</v>
      </c>
      <c r="C35" s="4">
        <v>-5.4</v>
      </c>
      <c r="D35" s="4">
        <v>-2.2</v>
      </c>
      <c r="E35" s="4">
        <v>1.1</v>
      </c>
      <c r="F35" s="4">
        <v>11.6</v>
      </c>
      <c r="G35" s="4">
        <v>17.4</v>
      </c>
      <c r="H35" s="4">
        <v>18.9</v>
      </c>
      <c r="I35" s="4">
        <v>22.3</v>
      </c>
      <c r="J35" s="4">
        <v>14.1</v>
      </c>
      <c r="K35" s="4">
        <v>3.9</v>
      </c>
      <c r="L35" s="4">
        <v>-1</v>
      </c>
      <c r="M35" s="4">
        <v>-9.699999999999999</v>
      </c>
      <c r="N35" s="4">
        <f>AVERAGE(B35:M35)</f>
        <v>0</v>
      </c>
    </row>
    <row r="36" spans="1:14">
      <c r="A36" s="3">
        <v>2021</v>
      </c>
      <c r="B36" s="4">
        <v>-12.6</v>
      </c>
      <c r="C36" s="4">
        <v>-6.7</v>
      </c>
      <c r="D36" s="4">
        <v>-0.3</v>
      </c>
      <c r="E36" s="4">
        <v>5.2</v>
      </c>
      <c r="F36" s="4">
        <v>9.699999999999999</v>
      </c>
      <c r="G36" s="4">
        <v>16.4</v>
      </c>
      <c r="H36" s="4">
        <v>21.2</v>
      </c>
      <c r="I36" s="4">
        <v>19.7</v>
      </c>
      <c r="J36" s="4">
        <v>15.1</v>
      </c>
      <c r="K36" s="4">
        <v>7.3</v>
      </c>
      <c r="L36" s="4">
        <v>-0.4</v>
      </c>
      <c r="M36" s="4">
        <v>-7.5</v>
      </c>
      <c r="N36" s="4">
        <f>AVERAGE(B36:M36)</f>
        <v>0</v>
      </c>
    </row>
    <row r="37" spans="1:14">
      <c r="A37" s="3">
        <v>2022</v>
      </c>
      <c r="B37" s="4">
        <v>-12.7</v>
      </c>
      <c r="C37" s="4">
        <v>-10.8</v>
      </c>
      <c r="D37" s="4">
        <v>-1.3</v>
      </c>
      <c r="E37" s="4">
        <v>5.1</v>
      </c>
      <c r="F37" s="4">
        <v>9.4</v>
      </c>
      <c r="G37" s="4">
        <v>17</v>
      </c>
      <c r="H37" s="4">
        <v>21.4</v>
      </c>
      <c r="I37" s="4">
        <v>20.6</v>
      </c>
      <c r="J37" s="4">
        <v>13.8</v>
      </c>
      <c r="K37" s="4">
        <v>5.7</v>
      </c>
      <c r="L37" s="4">
        <v>0.5</v>
      </c>
      <c r="M37" s="4">
        <v>-12.7</v>
      </c>
      <c r="N37" s="4">
        <f>AVERAGE(B37:M37)</f>
        <v>0</v>
      </c>
    </row>
    <row r="38" spans="1:14">
      <c r="A38" s="3">
        <v>2023</v>
      </c>
      <c r="B38" s="4">
        <v>-12.4</v>
      </c>
      <c r="C38" s="4">
        <v>-6.9</v>
      </c>
      <c r="D38" s="4">
        <v>-1.4</v>
      </c>
      <c r="E38" s="4">
        <v>5.2</v>
      </c>
      <c r="F38" s="4">
        <v>10.8</v>
      </c>
      <c r="G38" s="4">
        <v>16.7</v>
      </c>
      <c r="H38" s="4">
        <v>21.7</v>
      </c>
      <c r="I38" s="4">
        <v>21.4</v>
      </c>
      <c r="J38" s="4">
        <v>16.8</v>
      </c>
      <c r="K38" s="4">
        <v>6.2</v>
      </c>
      <c r="L38" s="4">
        <v>-0.7</v>
      </c>
      <c r="M38" s="4">
        <v>-7.2</v>
      </c>
      <c r="N38" s="4">
        <f>AVERAGE(B38:M38)</f>
        <v>0</v>
      </c>
    </row>
    <row r="39" spans="1:14">
      <c r="A39" s="3">
        <v>2024</v>
      </c>
      <c r="B39" s="4">
        <v>-8.5</v>
      </c>
      <c r="C39" s="4">
        <v>-3.6</v>
      </c>
      <c r="D39" s="4">
        <v>-2.2</v>
      </c>
      <c r="E39" s="4">
        <v>7.3</v>
      </c>
      <c r="F39" s="4">
        <v>10.5</v>
      </c>
      <c r="G39" s="4">
        <v>16.2</v>
      </c>
      <c r="H39" s="4">
        <v>22.3</v>
      </c>
      <c r="I39" s="4">
        <v>23.2</v>
      </c>
      <c r="J39" s="4">
        <v>18.3</v>
      </c>
      <c r="K39" s="4">
        <v>8.300000000000001</v>
      </c>
      <c r="L39" s="4">
        <v>0.3</v>
      </c>
      <c r="M39" s="4">
        <v>-9.4</v>
      </c>
      <c r="N39" s="4">
        <f>AVERAGE(B39:M39)</f>
        <v>0</v>
      </c>
    </row>
    <row r="40" spans="1:14">
      <c r="A40" s="3">
        <v>2025</v>
      </c>
      <c r="B40" s="4">
        <v>-10.5</v>
      </c>
      <c r="C40" s="4">
        <v>-11.1</v>
      </c>
      <c r="D40" s="4">
        <v>-1.6</v>
      </c>
      <c r="E40" s="4">
        <v>4.2</v>
      </c>
      <c r="F40" s="4">
        <v>10.3</v>
      </c>
      <c r="G40" s="4">
        <v>17.2</v>
      </c>
      <c r="H40" s="4">
        <v>22.2</v>
      </c>
      <c r="I40" s="4">
        <v>22.5</v>
      </c>
      <c r="J40" s="4">
        <v>16.8</v>
      </c>
      <c r="K40" s="4">
        <v>10.1</v>
      </c>
      <c r="L40" s="4">
        <v>-0.7</v>
      </c>
      <c r="M40" s="4">
        <v>-7.1</v>
      </c>
      <c r="N40" s="4">
        <f>AVERAGE(B40:M40)</f>
        <v>0</v>
      </c>
    </row>
    <row r="41" spans="1:14">
      <c r="A41" s="5" t="s">
        <v>13</v>
      </c>
      <c r="B41" s="6">
        <f>AVERAGE(B31:B40)</f>
        <v>0</v>
      </c>
      <c r="C41" s="6">
        <f>AVERAGE(C31:C40)</f>
        <v>0</v>
      </c>
      <c r="D41" s="6">
        <f>AVERAGE(D31:D40)</f>
        <v>0</v>
      </c>
      <c r="E41" s="6">
        <f>AVERAGE(E31:E40)</f>
        <v>0</v>
      </c>
      <c r="F41" s="6">
        <f>AVERAGE(F31:F40)</f>
        <v>0</v>
      </c>
      <c r="G41" s="6">
        <f>AVERAGE(G31:G40)</f>
        <v>0</v>
      </c>
      <c r="H41" s="6">
        <f>AVERAGE(H31:H40)</f>
        <v>0</v>
      </c>
      <c r="I41" s="6">
        <f>AVERAGE(I31:I40)</f>
        <v>0</v>
      </c>
      <c r="J41" s="6">
        <f>AVERAGE(J31:J40)</f>
        <v>0</v>
      </c>
      <c r="K41" s="6">
        <f>AVERAGE(K31:K40)</f>
        <v>0</v>
      </c>
      <c r="L41" s="6">
        <f>AVERAGE(L31:L40)</f>
        <v>0</v>
      </c>
      <c r="M41" s="6">
        <f>AVERAGE(M31:M40)</f>
        <v>0</v>
      </c>
      <c r="N41" s="6">
        <f>AVERAGE(N31:N40)</f>
        <v>0</v>
      </c>
    </row>
    <row r="43" spans="1:14">
      <c r="A43" s="7" t="s">
        <v>16</v>
      </c>
    </row>
    <row r="44" spans="1:14">
      <c r="A44" s="8" t="s">
        <v>17</v>
      </c>
      <c r="B44" s="8" t="s">
        <v>1</v>
      </c>
      <c r="C44" s="8" t="s">
        <v>2</v>
      </c>
      <c r="D44" s="8" t="s">
        <v>3</v>
      </c>
      <c r="E44" s="8" t="s">
        <v>4</v>
      </c>
      <c r="F44" s="8" t="s">
        <v>5</v>
      </c>
      <c r="G44" s="8" t="s">
        <v>6</v>
      </c>
      <c r="H44" s="8" t="s">
        <v>7</v>
      </c>
      <c r="I44" s="8" t="s">
        <v>8</v>
      </c>
      <c r="J44" s="8" t="s">
        <v>9</v>
      </c>
      <c r="K44" s="8" t="s">
        <v>10</v>
      </c>
      <c r="L44" s="8" t="s">
        <v>11</v>
      </c>
      <c r="M44" s="8" t="s">
        <v>12</v>
      </c>
      <c r="N44" s="8" t="s">
        <v>18</v>
      </c>
    </row>
    <row r="45" spans="1:14">
      <c r="A45" s="9" t="s">
        <v>19</v>
      </c>
      <c r="B45" s="4">
        <f>B13</f>
        <v>0</v>
      </c>
      <c r="C45" s="4">
        <f>C13</f>
        <v>0</v>
      </c>
      <c r="D45" s="4">
        <f>D13</f>
        <v>0</v>
      </c>
      <c r="E45" s="4">
        <f>E13</f>
        <v>0</v>
      </c>
      <c r="F45" s="4">
        <f>F13</f>
        <v>0</v>
      </c>
      <c r="G45" s="4">
        <f>G13</f>
        <v>0</v>
      </c>
      <c r="H45" s="4">
        <f>H13</f>
        <v>0</v>
      </c>
      <c r="I45" s="4">
        <f>I13</f>
        <v>0</v>
      </c>
      <c r="J45" s="4">
        <f>J13</f>
        <v>0</v>
      </c>
      <c r="K45" s="4">
        <f>K13</f>
        <v>0</v>
      </c>
      <c r="L45" s="4">
        <f>L13</f>
        <v>0</v>
      </c>
      <c r="M45" s="4">
        <f>M13</f>
        <v>0</v>
      </c>
      <c r="N45" s="4">
        <f>AVERAGE(B45:M45)</f>
        <v>0</v>
      </c>
    </row>
    <row r="46" spans="1:14">
      <c r="A46" s="9" t="s">
        <v>20</v>
      </c>
      <c r="B46" s="4">
        <f>B27</f>
        <v>0</v>
      </c>
      <c r="C46" s="4">
        <f>C27</f>
        <v>0</v>
      </c>
      <c r="D46" s="4">
        <f>D27</f>
        <v>0</v>
      </c>
      <c r="E46" s="4">
        <f>E27</f>
        <v>0</v>
      </c>
      <c r="F46" s="4">
        <f>F27</f>
        <v>0</v>
      </c>
      <c r="G46" s="4">
        <f>G27</f>
        <v>0</v>
      </c>
      <c r="H46" s="4">
        <f>H27</f>
        <v>0</v>
      </c>
      <c r="I46" s="4">
        <f>I27</f>
        <v>0</v>
      </c>
      <c r="J46" s="4">
        <f>J27</f>
        <v>0</v>
      </c>
      <c r="K46" s="4">
        <f>K27</f>
        <v>0</v>
      </c>
      <c r="L46" s="4">
        <f>L27</f>
        <v>0</v>
      </c>
      <c r="M46" s="4">
        <f>M27</f>
        <v>0</v>
      </c>
      <c r="N46" s="4">
        <f>AVERAGE(B46:M46)</f>
        <v>0</v>
      </c>
    </row>
    <row r="47" spans="1:14">
      <c r="A47" s="9" t="s">
        <v>21</v>
      </c>
      <c r="B47" s="4">
        <f>B41</f>
        <v>0</v>
      </c>
      <c r="C47" s="4">
        <f>C41</f>
        <v>0</v>
      </c>
      <c r="D47" s="4">
        <f>D41</f>
        <v>0</v>
      </c>
      <c r="E47" s="4">
        <f>E41</f>
        <v>0</v>
      </c>
      <c r="F47" s="4">
        <f>F41</f>
        <v>0</v>
      </c>
      <c r="G47" s="4">
        <f>G41</f>
        <v>0</v>
      </c>
      <c r="H47" s="4">
        <f>H41</f>
        <v>0</v>
      </c>
      <c r="I47" s="4">
        <f>I41</f>
        <v>0</v>
      </c>
      <c r="J47" s="4">
        <f>J41</f>
        <v>0</v>
      </c>
      <c r="K47" s="4">
        <f>K41</f>
        <v>0</v>
      </c>
      <c r="L47" s="4">
        <f>L41</f>
        <v>0</v>
      </c>
      <c r="M47" s="4">
        <f>M41</f>
        <v>0</v>
      </c>
      <c r="N47" s="4">
        <f>AVERAGE(B47:M47)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22</v>
      </c>
    </row>
    <row r="2" spans="1:14">
      <c r="A2" s="2" t="s">
        <v>22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0.9</v>
      </c>
      <c r="C3" s="4">
        <v>54.1</v>
      </c>
      <c r="D3" s="4">
        <v>45.2</v>
      </c>
      <c r="E3" s="4">
        <v>88.8</v>
      </c>
      <c r="F3" s="4">
        <v>149.9</v>
      </c>
      <c r="G3" s="4">
        <v>27.1</v>
      </c>
      <c r="H3" s="4">
        <v>460.5</v>
      </c>
      <c r="I3" s="4">
        <v>63.7</v>
      </c>
      <c r="J3" s="4">
        <v>32.2</v>
      </c>
      <c r="K3" s="4">
        <v>173.1</v>
      </c>
      <c r="L3" s="4">
        <v>15.6</v>
      </c>
      <c r="M3" s="4">
        <v>69.8</v>
      </c>
      <c r="N3" s="4">
        <f>SUM(B3:M3)</f>
        <v>0</v>
      </c>
    </row>
    <row r="4" spans="1:14">
      <c r="A4" s="3">
        <v>2017</v>
      </c>
      <c r="B4" s="4">
        <v>14.5</v>
      </c>
      <c r="C4" s="4">
        <v>9.800000000000001</v>
      </c>
      <c r="D4" s="4">
        <v>21.5</v>
      </c>
      <c r="E4" s="4">
        <v>63.6</v>
      </c>
      <c r="F4" s="4">
        <v>36</v>
      </c>
      <c r="G4" s="4">
        <v>74.2</v>
      </c>
      <c r="H4" s="4">
        <v>575.2</v>
      </c>
      <c r="I4" s="4">
        <v>354.9</v>
      </c>
      <c r="J4" s="4">
        <v>26.6</v>
      </c>
      <c r="K4" s="4">
        <v>10.8</v>
      </c>
      <c r="L4" s="4">
        <v>33.5</v>
      </c>
      <c r="M4" s="4">
        <v>12.8</v>
      </c>
      <c r="N4" s="4">
        <f>SUM(B4:M4)</f>
        <v>0</v>
      </c>
    </row>
    <row r="5" spans="1:14">
      <c r="A5" s="3">
        <v>2018</v>
      </c>
      <c r="B5" s="4">
        <v>7.9</v>
      </c>
      <c r="C5" s="4">
        <v>14.4</v>
      </c>
      <c r="D5" s="4">
        <v>33.6</v>
      </c>
      <c r="E5" s="4">
        <v>139.4</v>
      </c>
      <c r="F5" s="4">
        <v>263.1</v>
      </c>
      <c r="G5" s="4">
        <v>122.3</v>
      </c>
      <c r="H5" s="4">
        <v>174.2</v>
      </c>
      <c r="I5" s="4">
        <v>527</v>
      </c>
      <c r="J5" s="4">
        <v>55.4</v>
      </c>
      <c r="K5" s="4">
        <v>74.8</v>
      </c>
      <c r="L5" s="4">
        <v>60.2</v>
      </c>
      <c r="M5" s="4">
        <v>8.300000000000001</v>
      </c>
      <c r="N5" s="4">
        <f>SUM(B5:M5)</f>
        <v>0</v>
      </c>
    </row>
    <row r="6" spans="1:14">
      <c r="A6" s="3">
        <v>2019</v>
      </c>
      <c r="B6" s="4">
        <v>0</v>
      </c>
      <c r="C6" s="4">
        <v>20.6</v>
      </c>
      <c r="D6" s="4">
        <v>23.3</v>
      </c>
      <c r="E6" s="4">
        <v>28</v>
      </c>
      <c r="F6" s="4">
        <v>26.4</v>
      </c>
      <c r="G6" s="4">
        <v>57.1</v>
      </c>
      <c r="H6" s="4">
        <v>305.3</v>
      </c>
      <c r="I6" s="4">
        <v>156.9</v>
      </c>
      <c r="J6" s="4">
        <v>199.1</v>
      </c>
      <c r="K6" s="4">
        <v>30.8</v>
      </c>
      <c r="L6" s="4">
        <v>53</v>
      </c>
      <c r="M6" s="4">
        <v>20</v>
      </c>
      <c r="N6" s="4">
        <f>SUM(B6:M6)</f>
        <v>0</v>
      </c>
    </row>
    <row r="7" spans="1:14">
      <c r="A7" s="3">
        <v>2020</v>
      </c>
      <c r="B7" s="4">
        <v>79.7</v>
      </c>
      <c r="C7" s="4">
        <v>46.8</v>
      </c>
      <c r="D7" s="4">
        <v>16.9</v>
      </c>
      <c r="E7" s="4">
        <v>20.9</v>
      </c>
      <c r="F7" s="4">
        <v>161.7</v>
      </c>
      <c r="G7" s="4">
        <v>92.2</v>
      </c>
      <c r="H7" s="4">
        <v>184.5</v>
      </c>
      <c r="I7" s="4">
        <v>903</v>
      </c>
      <c r="J7" s="4">
        <v>166</v>
      </c>
      <c r="K7" s="4">
        <v>4.1</v>
      </c>
      <c r="L7" s="4">
        <v>72.3</v>
      </c>
      <c r="M7" s="4">
        <v>1.2</v>
      </c>
      <c r="N7" s="4">
        <f>SUM(B7:M7)</f>
        <v>0</v>
      </c>
    </row>
    <row r="8" spans="1:14">
      <c r="A8" s="3">
        <v>2021</v>
      </c>
      <c r="B8" s="4">
        <v>7.6</v>
      </c>
      <c r="C8" s="4">
        <v>4.8</v>
      </c>
      <c r="D8" s="4">
        <v>103.7</v>
      </c>
      <c r="E8" s="4">
        <v>99.3</v>
      </c>
      <c r="F8" s="4">
        <v>199.1</v>
      </c>
      <c r="G8" s="4">
        <v>67.59999999999999</v>
      </c>
      <c r="H8" s="4">
        <v>117.2</v>
      </c>
      <c r="I8" s="4">
        <v>219.6</v>
      </c>
      <c r="J8" s="4">
        <v>105.9</v>
      </c>
      <c r="K8" s="4">
        <v>128.3</v>
      </c>
      <c r="L8" s="4">
        <v>57.3</v>
      </c>
      <c r="M8" s="4">
        <v>4.9</v>
      </c>
      <c r="N8" s="4">
        <f>SUM(B8:M8)</f>
        <v>0</v>
      </c>
    </row>
    <row r="9" spans="1:14">
      <c r="A9" s="3">
        <v>2022</v>
      </c>
      <c r="B9" s="4">
        <v>2.5</v>
      </c>
      <c r="C9" s="4">
        <v>8.9</v>
      </c>
      <c r="D9" s="4">
        <v>90.90000000000001</v>
      </c>
      <c r="E9" s="4">
        <v>17.9</v>
      </c>
      <c r="F9" s="4">
        <v>14.5</v>
      </c>
      <c r="G9" s="4">
        <v>437.2</v>
      </c>
      <c r="H9" s="4">
        <v>247.6</v>
      </c>
      <c r="I9" s="4">
        <v>420.4</v>
      </c>
      <c r="J9" s="4">
        <v>257.4</v>
      </c>
      <c r="K9" s="4">
        <v>162.1</v>
      </c>
      <c r="L9" s="4">
        <v>85.2</v>
      </c>
      <c r="M9" s="4">
        <v>8.1</v>
      </c>
      <c r="N9" s="4">
        <f>SUM(B9:M9)</f>
        <v>0</v>
      </c>
    </row>
    <row r="10" spans="1:14">
      <c r="A10" s="3">
        <v>2023</v>
      </c>
      <c r="B10" s="4">
        <v>42.2</v>
      </c>
      <c r="C10" s="4">
        <v>0</v>
      </c>
      <c r="D10" s="4">
        <v>12.5</v>
      </c>
      <c r="E10" s="4">
        <v>97.5</v>
      </c>
      <c r="F10" s="4">
        <v>161.9</v>
      </c>
      <c r="G10" s="4">
        <v>220.4</v>
      </c>
      <c r="H10" s="4">
        <v>383.4</v>
      </c>
      <c r="I10" s="4">
        <v>241.6</v>
      </c>
      <c r="J10" s="4">
        <v>102.9</v>
      </c>
      <c r="K10" s="4">
        <v>30.5</v>
      </c>
      <c r="L10" s="4">
        <v>104.9</v>
      </c>
      <c r="M10" s="4">
        <v>69.40000000000001</v>
      </c>
      <c r="N10" s="4">
        <f>SUM(B10:M10)</f>
        <v>0</v>
      </c>
    </row>
    <row r="11" spans="1:14">
      <c r="A11" s="3">
        <v>2024</v>
      </c>
      <c r="B11" s="4">
        <v>7.2</v>
      </c>
      <c r="C11" s="4">
        <v>48.2</v>
      </c>
      <c r="D11" s="4">
        <v>42.4</v>
      </c>
      <c r="E11" s="4">
        <v>17.9</v>
      </c>
      <c r="F11" s="4">
        <v>156.5</v>
      </c>
      <c r="G11" s="4">
        <v>98.09999999999999</v>
      </c>
      <c r="H11" s="4">
        <v>759.5</v>
      </c>
      <c r="I11" s="4">
        <v>232.9</v>
      </c>
      <c r="J11" s="4">
        <v>179.2</v>
      </c>
      <c r="K11" s="4">
        <v>66.7</v>
      </c>
      <c r="L11" s="4">
        <v>29.8</v>
      </c>
      <c r="M11" s="4">
        <v>7.3</v>
      </c>
      <c r="N11" s="4">
        <f>SUM(B11:M11)</f>
        <v>0</v>
      </c>
    </row>
    <row r="12" spans="1:14">
      <c r="A12" s="3">
        <v>2025</v>
      </c>
      <c r="B12" s="4">
        <v>11.2</v>
      </c>
      <c r="C12" s="4">
        <v>2</v>
      </c>
      <c r="D12" s="4">
        <v>33</v>
      </c>
      <c r="E12" s="4">
        <v>128.1</v>
      </c>
      <c r="F12" s="4">
        <v>86.7</v>
      </c>
      <c r="G12" s="4">
        <v>198</v>
      </c>
      <c r="H12" s="4">
        <v>205.7</v>
      </c>
      <c r="I12" s="4">
        <v>430.9</v>
      </c>
      <c r="J12" s="4">
        <v>269.6</v>
      </c>
      <c r="K12" s="4">
        <v>189.7</v>
      </c>
      <c r="L12" s="4">
        <v>16.7</v>
      </c>
      <c r="M12" s="4">
        <v>34.2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24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25</v>
      </c>
    </row>
    <row r="20" spans="1:14">
      <c r="A20" s="11" t="s">
        <v>26</v>
      </c>
      <c r="B20" s="12">
        <v>975.2</v>
      </c>
    </row>
    <row r="21" spans="1:14">
      <c r="A21" s="11" t="s">
        <v>27</v>
      </c>
      <c r="B21" s="12">
        <v>1415.2</v>
      </c>
    </row>
    <row r="22" spans="1:14">
      <c r="A22" s="11" t="s">
        <v>28</v>
      </c>
      <c r="B22" s="12">
        <v>68.90000000000001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FormatPr defaultRowHeight="15"/>
  <cols>
    <col min="1" max="1" width="16.7109375" customWidth="1"/>
    <col min="2" max="14" width="9.7109375" customWidth="1"/>
  </cols>
  <sheetData>
    <row r="1" spans="1:14">
      <c r="A1" s="1" t="s">
        <v>29</v>
      </c>
    </row>
    <row r="2" spans="1:14">
      <c r="A2" s="2" t="s">
        <v>29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1.3</v>
      </c>
      <c r="C3" s="4">
        <v>1.5</v>
      </c>
      <c r="D3" s="4">
        <v>1.6</v>
      </c>
      <c r="E3" s="4">
        <v>2.2</v>
      </c>
      <c r="F3" s="4">
        <v>1.9</v>
      </c>
      <c r="G3" s="4">
        <v>1.6</v>
      </c>
      <c r="H3" s="4">
        <v>1.6</v>
      </c>
      <c r="I3" s="4">
        <v>1.5</v>
      </c>
      <c r="J3" s="4">
        <v>1.5</v>
      </c>
      <c r="K3" s="4">
        <v>1.3</v>
      </c>
      <c r="L3" s="4">
        <v>1.2</v>
      </c>
      <c r="M3" s="4">
        <v>1</v>
      </c>
      <c r="N3" s="4">
        <f>AVERAGE(B3:M3)</f>
        <v>0</v>
      </c>
    </row>
    <row r="4" spans="1:14">
      <c r="A4" s="3">
        <v>2017</v>
      </c>
      <c r="B4" s="4">
        <v>1.2</v>
      </c>
      <c r="C4" s="4">
        <v>1.3</v>
      </c>
      <c r="D4" s="4">
        <v>1.3</v>
      </c>
      <c r="E4" s="4">
        <v>2</v>
      </c>
      <c r="F4" s="4">
        <v>1.8</v>
      </c>
      <c r="G4" s="4">
        <v>1.7</v>
      </c>
      <c r="H4" s="4">
        <v>1.6</v>
      </c>
      <c r="I4" s="4">
        <v>1.7</v>
      </c>
      <c r="J4" s="4">
        <v>1.4</v>
      </c>
      <c r="K4" s="4">
        <v>1.2</v>
      </c>
      <c r="L4" s="4">
        <v>1.3</v>
      </c>
      <c r="M4" s="4">
        <v>1.2</v>
      </c>
      <c r="N4" s="4">
        <f>AVERAGE(B4:M4)</f>
        <v>0</v>
      </c>
    </row>
    <row r="5" spans="1:14">
      <c r="A5" s="3">
        <v>2018</v>
      </c>
      <c r="B5" s="4">
        <v>1.1</v>
      </c>
      <c r="C5" s="4">
        <v>1.5</v>
      </c>
      <c r="D5" s="4">
        <v>2.1</v>
      </c>
      <c r="E5" s="4">
        <v>2.5</v>
      </c>
      <c r="F5" s="4">
        <v>2.2</v>
      </c>
      <c r="G5" s="4">
        <v>1.8</v>
      </c>
      <c r="H5" s="4">
        <v>2</v>
      </c>
      <c r="I5" s="4">
        <v>1.9</v>
      </c>
      <c r="J5" s="4">
        <v>1.5</v>
      </c>
      <c r="K5" s="4">
        <v>1.3</v>
      </c>
      <c r="L5" s="4">
        <v>1</v>
      </c>
      <c r="M5" s="4">
        <v>1</v>
      </c>
      <c r="N5" s="4">
        <f>AVERAGE(B5:M5)</f>
        <v>0</v>
      </c>
    </row>
    <row r="6" spans="1:14">
      <c r="A6" s="3">
        <v>2019</v>
      </c>
      <c r="B6" s="4">
        <v>1.1</v>
      </c>
      <c r="C6" s="4">
        <v>1</v>
      </c>
      <c r="D6" s="4">
        <v>1.4</v>
      </c>
      <c r="E6" s="4">
        <v>1.5</v>
      </c>
      <c r="F6" s="4">
        <v>1.5</v>
      </c>
      <c r="G6" s="4">
        <v>1.4</v>
      </c>
      <c r="H6" s="4">
        <v>1.6</v>
      </c>
      <c r="I6" s="4">
        <v>1.1</v>
      </c>
      <c r="J6" s="4">
        <v>1.3</v>
      </c>
      <c r="K6" s="4">
        <v>1.2</v>
      </c>
      <c r="L6" s="4">
        <v>0.9</v>
      </c>
      <c r="M6" s="4">
        <v>0.9</v>
      </c>
      <c r="N6" s="4">
        <f>AVERAGE(B6:M6)</f>
        <v>0</v>
      </c>
    </row>
    <row r="7" spans="1:14">
      <c r="A7" s="3">
        <v>2020</v>
      </c>
      <c r="B7" s="4">
        <v>1.1</v>
      </c>
      <c r="C7" s="4">
        <v>1.1</v>
      </c>
      <c r="D7" s="4">
        <v>1.4</v>
      </c>
      <c r="E7" s="4">
        <v>1.7</v>
      </c>
      <c r="F7" s="4">
        <v>1.4</v>
      </c>
      <c r="G7" s="4">
        <v>1.4</v>
      </c>
      <c r="H7" s="4">
        <v>1.6</v>
      </c>
      <c r="I7" s="4">
        <v>1.3</v>
      </c>
      <c r="J7" s="4">
        <v>1.6</v>
      </c>
      <c r="K7" s="4">
        <v>0.9</v>
      </c>
      <c r="L7" s="4">
        <v>1.1</v>
      </c>
      <c r="M7" s="4">
        <v>0.9</v>
      </c>
      <c r="N7" s="4">
        <f>AVERAGE(B7:M7)</f>
        <v>0</v>
      </c>
    </row>
    <row r="8" spans="1:14">
      <c r="A8" s="3">
        <v>2021</v>
      </c>
      <c r="B8" s="4">
        <v>1.2</v>
      </c>
      <c r="C8" s="4">
        <v>1.5</v>
      </c>
      <c r="D8" s="4">
        <v>1.5</v>
      </c>
      <c r="E8" s="4">
        <v>1.7</v>
      </c>
      <c r="F8" s="4">
        <v>1.5</v>
      </c>
      <c r="G8" s="4">
        <v>1.3</v>
      </c>
      <c r="H8" s="4">
        <v>1.1</v>
      </c>
      <c r="I8" s="4">
        <v>1.4</v>
      </c>
      <c r="J8" s="4">
        <v>1.4</v>
      </c>
      <c r="K8" s="4">
        <v>1</v>
      </c>
      <c r="L8" s="4">
        <v>1.1</v>
      </c>
      <c r="M8" s="4">
        <v>1.1</v>
      </c>
      <c r="N8" s="4">
        <f>AVERAGE(B8:M8)</f>
        <v>0</v>
      </c>
    </row>
    <row r="9" spans="1:14">
      <c r="A9" s="3">
        <v>2022</v>
      </c>
      <c r="B9" s="4">
        <v>0.8</v>
      </c>
      <c r="C9" s="4">
        <v>1.4</v>
      </c>
      <c r="D9" s="4">
        <v>1.6</v>
      </c>
      <c r="E9" s="4">
        <v>1.7</v>
      </c>
      <c r="F9" s="4">
        <v>1.6</v>
      </c>
      <c r="G9" s="4">
        <v>1.8</v>
      </c>
      <c r="H9" s="4">
        <v>1.1</v>
      </c>
      <c r="I9" s="4">
        <v>1.2</v>
      </c>
      <c r="J9" s="4">
        <v>1.4</v>
      </c>
      <c r="K9" s="4">
        <v>1</v>
      </c>
      <c r="L9" s="4">
        <v>0.9</v>
      </c>
      <c r="M9" s="4">
        <v>0.9</v>
      </c>
      <c r="N9" s="4">
        <f>AVERAGE(B9:M9)</f>
        <v>0</v>
      </c>
    </row>
    <row r="10" spans="1:14">
      <c r="A10" s="3">
        <v>2023</v>
      </c>
      <c r="B10" s="4">
        <v>0.9</v>
      </c>
      <c r="C10" s="4">
        <v>1</v>
      </c>
      <c r="D10" s="4">
        <v>1.2</v>
      </c>
      <c r="E10" s="4">
        <v>1.6</v>
      </c>
      <c r="F10" s="4">
        <v>1.5</v>
      </c>
      <c r="G10" s="4">
        <v>1.3</v>
      </c>
      <c r="H10" s="4">
        <v>1.3</v>
      </c>
      <c r="I10" s="4">
        <v>1.5</v>
      </c>
      <c r="J10" s="4">
        <v>1.2</v>
      </c>
      <c r="K10" s="4">
        <v>0.9</v>
      </c>
      <c r="L10" s="4">
        <v>1.3</v>
      </c>
      <c r="M10" s="4">
        <v>1.4</v>
      </c>
      <c r="N10" s="4">
        <f>AVERAGE(B10:M10)</f>
        <v>0</v>
      </c>
    </row>
    <row r="11" spans="1:14">
      <c r="A11" s="3">
        <v>2024</v>
      </c>
      <c r="B11" s="4">
        <v>1.2</v>
      </c>
      <c r="C11" s="4">
        <v>1.5</v>
      </c>
      <c r="D11" s="4">
        <v>1.6</v>
      </c>
      <c r="E11" s="4">
        <v>1.7</v>
      </c>
      <c r="F11" s="4">
        <v>1.5</v>
      </c>
      <c r="G11" s="4">
        <v>1.3</v>
      </c>
      <c r="H11" s="4">
        <v>1.7</v>
      </c>
      <c r="I11" s="4">
        <v>1.2</v>
      </c>
      <c r="J11" s="4">
        <v>1.5</v>
      </c>
      <c r="K11" s="4">
        <v>0.9</v>
      </c>
      <c r="L11" s="4">
        <v>0.9</v>
      </c>
      <c r="M11" s="4">
        <v>1</v>
      </c>
      <c r="N11" s="4">
        <f>AVERAGE(B11:M11)</f>
        <v>0</v>
      </c>
    </row>
    <row r="12" spans="1:14">
      <c r="A12" s="3">
        <v>2025</v>
      </c>
      <c r="B12" s="4">
        <v>0.9</v>
      </c>
      <c r="C12" s="4">
        <v>1.3</v>
      </c>
      <c r="D12" s="4">
        <v>1.7</v>
      </c>
      <c r="E12" s="4">
        <v>1.5</v>
      </c>
      <c r="F12" s="4">
        <v>1.4</v>
      </c>
      <c r="G12" s="4">
        <v>1.4</v>
      </c>
      <c r="H12" s="4">
        <v>1.3</v>
      </c>
      <c r="I12" s="4">
        <v>1.1</v>
      </c>
      <c r="J12" s="4">
        <v>1.1</v>
      </c>
      <c r="K12" s="4">
        <v>1.5</v>
      </c>
      <c r="L12" s="4"/>
      <c r="M12" s="4">
        <v>0.9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1" t="s">
        <v>30</v>
      </c>
    </row>
    <row r="16" spans="1:14">
      <c r="A16" s="2" t="s">
        <v>30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>
      <c r="A17" s="3">
        <v>2016</v>
      </c>
      <c r="B17" s="4">
        <v>6.4</v>
      </c>
      <c r="C17" s="4">
        <v>7.5</v>
      </c>
      <c r="D17" s="4">
        <v>7.6</v>
      </c>
      <c r="E17" s="4">
        <v>9</v>
      </c>
      <c r="F17" s="4">
        <v>8.300000000000001</v>
      </c>
      <c r="G17" s="4">
        <v>6.3</v>
      </c>
      <c r="H17" s="4">
        <v>6.4</v>
      </c>
      <c r="I17" s="4">
        <v>7.1</v>
      </c>
      <c r="J17" s="4">
        <v>7</v>
      </c>
      <c r="K17" s="4">
        <v>6.7</v>
      </c>
      <c r="L17" s="4">
        <v>6.2</v>
      </c>
      <c r="M17" s="4">
        <v>7.4</v>
      </c>
      <c r="N17" s="4">
        <f>AVERAGE(B17:M17)</f>
        <v>0</v>
      </c>
    </row>
    <row r="18" spans="1:14">
      <c r="A18" s="3">
        <v>2017</v>
      </c>
      <c r="B18" s="4">
        <v>6.8</v>
      </c>
      <c r="C18" s="4">
        <v>6.3</v>
      </c>
      <c r="D18" s="4">
        <v>6.8</v>
      </c>
      <c r="E18" s="4">
        <v>7.8</v>
      </c>
      <c r="F18" s="4">
        <v>8.300000000000001</v>
      </c>
      <c r="G18" s="4">
        <v>7.5</v>
      </c>
      <c r="H18" s="4">
        <v>6.4</v>
      </c>
      <c r="I18" s="4">
        <v>5.9</v>
      </c>
      <c r="J18" s="4">
        <v>8.699999999999999</v>
      </c>
      <c r="K18" s="4">
        <v>6.9</v>
      </c>
      <c r="L18" s="4">
        <v>7.2</v>
      </c>
      <c r="M18" s="4">
        <v>6.1</v>
      </c>
      <c r="N18" s="4">
        <f>AVERAGE(B18:M18)</f>
        <v>0</v>
      </c>
    </row>
    <row r="19" spans="1:14">
      <c r="A19" s="3">
        <v>2018</v>
      </c>
      <c r="B19" s="4">
        <v>5.6</v>
      </c>
      <c r="C19" s="4">
        <v>6.8</v>
      </c>
      <c r="D19" s="4">
        <v>7.9</v>
      </c>
      <c r="E19" s="4">
        <v>9.699999999999999</v>
      </c>
      <c r="F19" s="4">
        <v>8.1</v>
      </c>
      <c r="G19" s="4">
        <v>7.1</v>
      </c>
      <c r="H19" s="4">
        <v>8.1</v>
      </c>
      <c r="I19" s="4">
        <v>8.800000000000001</v>
      </c>
      <c r="J19" s="4">
        <v>6.1</v>
      </c>
      <c r="K19" s="4">
        <v>8.800000000000001</v>
      </c>
      <c r="L19" s="4">
        <v>7.2</v>
      </c>
      <c r="M19" s="4">
        <v>7.7</v>
      </c>
      <c r="N19" s="4">
        <f>AVERAGE(B19:M19)</f>
        <v>0</v>
      </c>
    </row>
    <row r="20" spans="1:14">
      <c r="A20" s="3">
        <v>2019</v>
      </c>
      <c r="B20" s="4">
        <v>6</v>
      </c>
      <c r="C20" s="4">
        <v>6</v>
      </c>
      <c r="D20" s="4">
        <v>6.3</v>
      </c>
      <c r="E20" s="4">
        <v>6.4</v>
      </c>
      <c r="F20" s="4">
        <v>6.4</v>
      </c>
      <c r="G20" s="4">
        <v>7.1</v>
      </c>
      <c r="H20" s="4">
        <v>6.4</v>
      </c>
      <c r="I20" s="4">
        <v>6.3</v>
      </c>
      <c r="J20" s="4">
        <v>9.4</v>
      </c>
      <c r="K20" s="4">
        <v>6.1</v>
      </c>
      <c r="L20" s="4">
        <v>6.7</v>
      </c>
      <c r="M20" s="4">
        <v>5.4</v>
      </c>
      <c r="N20" s="4">
        <f>AVERAGE(B20:M20)</f>
        <v>0</v>
      </c>
    </row>
    <row r="21" spans="1:14">
      <c r="A21" s="3">
        <v>2020</v>
      </c>
      <c r="B21" s="4">
        <v>6</v>
      </c>
      <c r="C21" s="4">
        <v>6.6</v>
      </c>
      <c r="D21" s="4">
        <v>7.5</v>
      </c>
      <c r="E21" s="4">
        <v>7.7</v>
      </c>
      <c r="F21" s="4">
        <v>6.6</v>
      </c>
      <c r="G21" s="4">
        <v>7.5</v>
      </c>
      <c r="H21" s="4">
        <v>7.6</v>
      </c>
      <c r="I21" s="4">
        <v>8.300000000000001</v>
      </c>
      <c r="J21" s="4">
        <v>6.5</v>
      </c>
      <c r="K21" s="4">
        <v>5.1</v>
      </c>
      <c r="L21" s="4">
        <v>6.4</v>
      </c>
      <c r="M21" s="4">
        <v>5.1</v>
      </c>
      <c r="N21" s="4">
        <f>AVERAGE(B21:M21)</f>
        <v>0</v>
      </c>
    </row>
    <row r="22" spans="1:14">
      <c r="A22" s="3">
        <v>2021</v>
      </c>
      <c r="B22" s="4">
        <v>6.8</v>
      </c>
      <c r="C22" s="4">
        <v>5.7</v>
      </c>
      <c r="D22" s="4">
        <v>7.4</v>
      </c>
      <c r="E22" s="4">
        <v>6.4</v>
      </c>
      <c r="F22" s="4">
        <v>7.3</v>
      </c>
      <c r="G22" s="4">
        <v>6</v>
      </c>
      <c r="H22" s="4">
        <v>7.2</v>
      </c>
      <c r="I22" s="4">
        <v>6.6</v>
      </c>
      <c r="J22" s="4">
        <v>5.7</v>
      </c>
      <c r="K22" s="4">
        <v>6</v>
      </c>
      <c r="L22" s="4">
        <v>6.2</v>
      </c>
      <c r="M22" s="4">
        <v>5.9</v>
      </c>
      <c r="N22" s="4">
        <f>AVERAGE(B22:M22)</f>
        <v>0</v>
      </c>
    </row>
    <row r="23" spans="1:14">
      <c r="A23" s="3">
        <v>2022</v>
      </c>
      <c r="B23" s="4">
        <v>5</v>
      </c>
      <c r="C23" s="4">
        <v>6.3</v>
      </c>
      <c r="D23" s="4">
        <v>6.9</v>
      </c>
      <c r="E23" s="4">
        <v>6.4</v>
      </c>
      <c r="F23" s="4">
        <v>6.3</v>
      </c>
      <c r="G23" s="4">
        <v>7.1</v>
      </c>
      <c r="H23" s="4">
        <v>5.6</v>
      </c>
      <c r="I23" s="4">
        <v>5.7</v>
      </c>
      <c r="J23" s="4">
        <v>6.9</v>
      </c>
      <c r="K23" s="4">
        <v>5</v>
      </c>
      <c r="L23" s="4">
        <v>5.7</v>
      </c>
      <c r="M23" s="4">
        <v>7.4</v>
      </c>
      <c r="N23" s="4">
        <f>AVERAGE(B23:M23)</f>
        <v>0</v>
      </c>
    </row>
    <row r="24" spans="1:14">
      <c r="A24" s="3">
        <v>2023</v>
      </c>
      <c r="B24" s="4">
        <v>5</v>
      </c>
      <c r="C24" s="4">
        <v>5</v>
      </c>
      <c r="D24" s="4">
        <v>5.7</v>
      </c>
      <c r="E24" s="4">
        <v>6.2</v>
      </c>
      <c r="F24" s="4">
        <v>5.8</v>
      </c>
      <c r="G24" s="4">
        <v>5.4</v>
      </c>
      <c r="H24" s="4">
        <v>6.7</v>
      </c>
      <c r="I24" s="4">
        <v>6.4</v>
      </c>
      <c r="J24" s="4">
        <v>5.5</v>
      </c>
      <c r="K24" s="4">
        <v>4.9</v>
      </c>
      <c r="L24" s="4">
        <v>6.3</v>
      </c>
      <c r="M24" s="4">
        <v>7.1</v>
      </c>
      <c r="N24" s="4">
        <f>AVERAGE(B24:M24)</f>
        <v>0</v>
      </c>
    </row>
    <row r="25" spans="1:14">
      <c r="A25" s="3">
        <v>2024</v>
      </c>
      <c r="B25" s="4">
        <v>6.1</v>
      </c>
      <c r="C25" s="4">
        <v>5.6</v>
      </c>
      <c r="D25" s="4">
        <v>6.5</v>
      </c>
      <c r="E25" s="4">
        <v>6.5</v>
      </c>
      <c r="F25" s="4">
        <v>5.9</v>
      </c>
      <c r="G25" s="4">
        <v>5.1</v>
      </c>
      <c r="H25" s="4">
        <v>6.3</v>
      </c>
      <c r="I25" s="4">
        <v>5</v>
      </c>
      <c r="J25" s="4">
        <v>6.7</v>
      </c>
      <c r="K25" s="4">
        <v>5.1</v>
      </c>
      <c r="L25" s="4">
        <v>6.3</v>
      </c>
      <c r="M25" s="4">
        <v>5.1</v>
      </c>
      <c r="N25" s="4">
        <f>AVERAGE(B25:M25)</f>
        <v>0</v>
      </c>
    </row>
    <row r="26" spans="1:14">
      <c r="A26" s="3">
        <v>2025</v>
      </c>
      <c r="B26" s="4">
        <v>5</v>
      </c>
      <c r="C26" s="4">
        <v>6.5</v>
      </c>
      <c r="D26" s="4">
        <v>7.1</v>
      </c>
      <c r="E26" s="4">
        <v>7</v>
      </c>
      <c r="F26" s="4">
        <v>6.7</v>
      </c>
      <c r="G26" s="4">
        <v>5.9</v>
      </c>
      <c r="H26" s="4">
        <v>6</v>
      </c>
      <c r="I26" s="4">
        <v>5.5</v>
      </c>
      <c r="J26" s="4">
        <v>5.3</v>
      </c>
      <c r="K26" s="4">
        <v>5.2</v>
      </c>
      <c r="L26" s="4">
        <v>4.7</v>
      </c>
      <c r="M26" s="4">
        <v>5.5</v>
      </c>
      <c r="N26" s="4">
        <f>AVERAGE(B26:M26)</f>
        <v>0</v>
      </c>
    </row>
    <row r="27" spans="1:14">
      <c r="A27" s="5" t="s">
        <v>13</v>
      </c>
      <c r="B27" s="6">
        <f>AVERAGE(B17:B26)</f>
        <v>0</v>
      </c>
      <c r="C27" s="6">
        <f>AVERAGE(C17:C26)</f>
        <v>0</v>
      </c>
      <c r="D27" s="6">
        <f>AVERAGE(D17:D26)</f>
        <v>0</v>
      </c>
      <c r="E27" s="6">
        <f>AVERAGE(E17:E26)</f>
        <v>0</v>
      </c>
      <c r="F27" s="6">
        <f>AVERAGE(F17:F26)</f>
        <v>0</v>
      </c>
      <c r="G27" s="6">
        <f>AVERAGE(G17:G26)</f>
        <v>0</v>
      </c>
      <c r="H27" s="6">
        <f>AVERAGE(H17:H26)</f>
        <v>0</v>
      </c>
      <c r="I27" s="6">
        <f>AVERAGE(I17:I26)</f>
        <v>0</v>
      </c>
      <c r="J27" s="6">
        <f>AVERAGE(J17:J26)</f>
        <v>0</v>
      </c>
      <c r="K27" s="6">
        <f>AVERAGE(K17:K26)</f>
        <v>0</v>
      </c>
      <c r="L27" s="6">
        <f>AVERAGE(L17:L26)</f>
        <v>0</v>
      </c>
      <c r="M27" s="6">
        <f>AVERAGE(M17:M26)</f>
        <v>0</v>
      </c>
      <c r="N27" s="6">
        <f>AVERAGE(N17:N26)</f>
        <v>0</v>
      </c>
    </row>
    <row r="29" spans="1:14">
      <c r="A29" s="7" t="s">
        <v>16</v>
      </c>
    </row>
    <row r="30" spans="1:14">
      <c r="A30" s="8" t="s">
        <v>17</v>
      </c>
      <c r="B30" s="8" t="s">
        <v>1</v>
      </c>
      <c r="C30" s="8" t="s">
        <v>2</v>
      </c>
      <c r="D30" s="8" t="s">
        <v>3</v>
      </c>
      <c r="E30" s="8" t="s">
        <v>4</v>
      </c>
      <c r="F30" s="8" t="s">
        <v>5</v>
      </c>
      <c r="G30" s="8" t="s">
        <v>6</v>
      </c>
      <c r="H30" s="8" t="s">
        <v>7</v>
      </c>
      <c r="I30" s="8" t="s">
        <v>8</v>
      </c>
      <c r="J30" s="8" t="s">
        <v>9</v>
      </c>
      <c r="K30" s="8" t="s">
        <v>10</v>
      </c>
      <c r="L30" s="8" t="s">
        <v>11</v>
      </c>
      <c r="M30" s="8" t="s">
        <v>12</v>
      </c>
      <c r="N30" s="8" t="s">
        <v>18</v>
      </c>
    </row>
    <row r="31" spans="1:14">
      <c r="A31" s="9" t="s">
        <v>13</v>
      </c>
      <c r="B31" s="4">
        <f>B13</f>
        <v>0</v>
      </c>
      <c r="C31" s="4">
        <f>C13</f>
        <v>0</v>
      </c>
      <c r="D31" s="4">
        <f>D13</f>
        <v>0</v>
      </c>
      <c r="E31" s="4">
        <f>E13</f>
        <v>0</v>
      </c>
      <c r="F31" s="4">
        <f>F13</f>
        <v>0</v>
      </c>
      <c r="G31" s="4">
        <f>G13</f>
        <v>0</v>
      </c>
      <c r="H31" s="4">
        <f>H13</f>
        <v>0</v>
      </c>
      <c r="I31" s="4">
        <f>I13</f>
        <v>0</v>
      </c>
      <c r="J31" s="4">
        <f>J13</f>
        <v>0</v>
      </c>
      <c r="K31" s="4">
        <f>K13</f>
        <v>0</v>
      </c>
      <c r="L31" s="4">
        <f>L13</f>
        <v>0</v>
      </c>
      <c r="M31" s="4">
        <f>M13</f>
        <v>0</v>
      </c>
      <c r="N31" s="4">
        <f>AVERAGE(B31:M31)</f>
        <v>0</v>
      </c>
    </row>
    <row r="32" spans="1:14">
      <c r="A32" s="9" t="s">
        <v>31</v>
      </c>
      <c r="B32" s="4">
        <f>B27</f>
        <v>0</v>
      </c>
      <c r="C32" s="4">
        <f>C27</f>
        <v>0</v>
      </c>
      <c r="D32" s="4">
        <f>D27</f>
        <v>0</v>
      </c>
      <c r="E32" s="4">
        <f>E27</f>
        <v>0</v>
      </c>
      <c r="F32" s="4">
        <f>F27</f>
        <v>0</v>
      </c>
      <c r="G32" s="4">
        <f>G27</f>
        <v>0</v>
      </c>
      <c r="H32" s="4">
        <f>H27</f>
        <v>0</v>
      </c>
      <c r="I32" s="4">
        <f>I27</f>
        <v>0</v>
      </c>
      <c r="J32" s="4">
        <f>J27</f>
        <v>0</v>
      </c>
      <c r="K32" s="4">
        <f>K27</f>
        <v>0</v>
      </c>
      <c r="L32" s="4">
        <f>L27</f>
        <v>0</v>
      </c>
      <c r="M32" s="4">
        <f>M27</f>
        <v>0</v>
      </c>
      <c r="N32" s="4">
        <f>AVERAGE(B32:M32)</f>
        <v>0</v>
      </c>
    </row>
    <row r="34" spans="1:2">
      <c r="A34" s="10" t="s">
        <v>32</v>
      </c>
    </row>
    <row r="35" spans="1:2">
      <c r="A35" s="11" t="s">
        <v>33</v>
      </c>
      <c r="B35" s="12">
        <v>7.3</v>
      </c>
    </row>
    <row r="36" spans="1:2">
      <c r="A36" s="11" t="s">
        <v>34</v>
      </c>
      <c r="B36" s="11" t="s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35</v>
      </c>
    </row>
    <row r="2" spans="1:14">
      <c r="A2" s="2" t="s">
        <v>35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>
      <c r="A3" s="3">
        <v>2016</v>
      </c>
      <c r="B3" s="4">
        <v>57</v>
      </c>
      <c r="C3" s="4">
        <v>54</v>
      </c>
      <c r="D3" s="4">
        <v>56</v>
      </c>
      <c r="E3" s="4">
        <v>54</v>
      </c>
      <c r="F3" s="4">
        <v>62</v>
      </c>
      <c r="G3" s="4">
        <v>69</v>
      </c>
      <c r="H3" s="4">
        <v>83</v>
      </c>
      <c r="I3" s="4">
        <v>80</v>
      </c>
      <c r="J3" s="4">
        <v>76</v>
      </c>
      <c r="K3" s="4">
        <v>74</v>
      </c>
      <c r="L3" s="4">
        <v>70</v>
      </c>
      <c r="M3" s="4">
        <v>73</v>
      </c>
      <c r="N3" s="4">
        <f>AVERAGE(B3:M3)</f>
        <v>0</v>
      </c>
    </row>
    <row r="4" spans="1:14">
      <c r="A4" s="3">
        <v>2017</v>
      </c>
      <c r="B4" s="4">
        <v>62</v>
      </c>
      <c r="C4" s="4">
        <v>60</v>
      </c>
      <c r="D4" s="4">
        <v>58</v>
      </c>
      <c r="E4" s="4">
        <v>54</v>
      </c>
      <c r="F4" s="4">
        <v>55</v>
      </c>
      <c r="G4" s="4">
        <v>60</v>
      </c>
      <c r="H4" s="4">
        <v>82</v>
      </c>
      <c r="I4" s="4">
        <v>85</v>
      </c>
      <c r="J4" s="4">
        <v>72</v>
      </c>
      <c r="K4" s="4">
        <v>69</v>
      </c>
      <c r="L4" s="4">
        <v>67</v>
      </c>
      <c r="M4" s="4">
        <v>66</v>
      </c>
      <c r="N4" s="4">
        <f>AVERAGE(B4:M4)</f>
        <v>0</v>
      </c>
    </row>
    <row r="5" spans="1:14">
      <c r="A5" s="3">
        <v>2018</v>
      </c>
      <c r="B5" s="4">
        <v>62</v>
      </c>
      <c r="C5" s="4">
        <v>52</v>
      </c>
      <c r="D5" s="4">
        <v>64</v>
      </c>
      <c r="E5" s="4">
        <v>61</v>
      </c>
      <c r="F5" s="4">
        <v>68</v>
      </c>
      <c r="G5" s="4">
        <v>70</v>
      </c>
      <c r="H5" s="4">
        <v>80</v>
      </c>
      <c r="I5" s="4">
        <v>79</v>
      </c>
      <c r="J5" s="4">
        <v>77</v>
      </c>
      <c r="K5" s="4">
        <v>77</v>
      </c>
      <c r="L5" s="4">
        <v>77</v>
      </c>
      <c r="M5" s="4">
        <v>62</v>
      </c>
      <c r="N5" s="4">
        <f>AVERAGE(B5:M5)</f>
        <v>0</v>
      </c>
    </row>
    <row r="6" spans="1:14">
      <c r="A6" s="3">
        <v>2019</v>
      </c>
      <c r="B6" s="4">
        <v>57</v>
      </c>
      <c r="C6" s="4">
        <v>63</v>
      </c>
      <c r="D6" s="4">
        <v>66</v>
      </c>
      <c r="E6" s="4">
        <v>63</v>
      </c>
      <c r="F6" s="4">
        <v>59</v>
      </c>
      <c r="G6" s="4">
        <v>77</v>
      </c>
      <c r="H6" s="4">
        <v>84</v>
      </c>
      <c r="I6" s="4">
        <v>87</v>
      </c>
      <c r="J6" s="4">
        <v>86</v>
      </c>
      <c r="K6" s="4">
        <v>82</v>
      </c>
      <c r="L6" s="4">
        <v>79</v>
      </c>
      <c r="M6" s="4">
        <v>81</v>
      </c>
      <c r="N6" s="4">
        <f>AVERAGE(B6:M6)</f>
        <v>0</v>
      </c>
    </row>
    <row r="7" spans="1:14">
      <c r="A7" s="3">
        <v>2020</v>
      </c>
      <c r="B7" s="4">
        <v>79</v>
      </c>
      <c r="C7" s="4">
        <v>79</v>
      </c>
      <c r="D7" s="4">
        <v>63</v>
      </c>
      <c r="E7" s="4">
        <v>58</v>
      </c>
      <c r="F7" s="4">
        <v>79</v>
      </c>
      <c r="G7" s="4">
        <v>79</v>
      </c>
      <c r="H7" s="4">
        <v>89</v>
      </c>
      <c r="I7" s="4">
        <v>96</v>
      </c>
      <c r="J7" s="4">
        <v>88</v>
      </c>
      <c r="K7" s="4">
        <v>78</v>
      </c>
      <c r="L7" s="4">
        <v>78</v>
      </c>
      <c r="M7" s="4">
        <v>73</v>
      </c>
      <c r="N7" s="4">
        <f>AVERAGE(B7:M7)</f>
        <v>0</v>
      </c>
    </row>
    <row r="8" spans="1:14">
      <c r="A8" s="3">
        <v>2021</v>
      </c>
      <c r="B8" s="4">
        <v>70</v>
      </c>
      <c r="C8" s="4">
        <v>64</v>
      </c>
      <c r="D8" s="4">
        <v>75</v>
      </c>
      <c r="E8" s="4">
        <v>65</v>
      </c>
      <c r="F8" s="4">
        <v>79</v>
      </c>
      <c r="G8" s="4">
        <v>86</v>
      </c>
      <c r="H8" s="4">
        <v>88</v>
      </c>
      <c r="I8" s="4">
        <v>90</v>
      </c>
      <c r="J8" s="4">
        <v>86</v>
      </c>
      <c r="K8" s="4">
        <v>86</v>
      </c>
      <c r="L8" s="4">
        <v>79</v>
      </c>
      <c r="M8" s="4">
        <v>76</v>
      </c>
      <c r="N8" s="4">
        <f>AVERAGE(B8:M8)</f>
        <v>0</v>
      </c>
    </row>
    <row r="9" spans="1:14">
      <c r="A9" s="3">
        <v>2022</v>
      </c>
      <c r="B9" s="4">
        <v>73</v>
      </c>
      <c r="C9" s="4">
        <v>62</v>
      </c>
      <c r="D9" s="4">
        <v>72</v>
      </c>
      <c r="E9" s="4">
        <v>61</v>
      </c>
      <c r="F9" s="4">
        <v>67</v>
      </c>
      <c r="G9" s="4">
        <v>86</v>
      </c>
      <c r="H9" s="4">
        <v>85</v>
      </c>
      <c r="I9" s="4">
        <v>87</v>
      </c>
      <c r="J9" s="4">
        <v>78</v>
      </c>
      <c r="K9" s="4">
        <v>80</v>
      </c>
      <c r="L9" s="4">
        <v>77</v>
      </c>
      <c r="M9" s="4">
        <v>70</v>
      </c>
      <c r="N9" s="4">
        <f>AVERAGE(B9:M9)</f>
        <v>0</v>
      </c>
    </row>
    <row r="10" spans="1:14">
      <c r="A10" s="3">
        <v>2023</v>
      </c>
      <c r="B10" s="4">
        <v>75</v>
      </c>
      <c r="C10" s="4">
        <v>68</v>
      </c>
      <c r="D10" s="4">
        <v>58</v>
      </c>
      <c r="E10" s="4">
        <v>64</v>
      </c>
      <c r="F10" s="4">
        <v>67</v>
      </c>
      <c r="G10" s="4">
        <v>78</v>
      </c>
      <c r="H10" s="4">
        <v>86</v>
      </c>
      <c r="I10" s="4">
        <v>85</v>
      </c>
      <c r="J10" s="4">
        <v>84</v>
      </c>
      <c r="K10" s="4">
        <v>79</v>
      </c>
      <c r="L10" s="4">
        <v>73</v>
      </c>
      <c r="M10" s="4">
        <v>79</v>
      </c>
      <c r="N10" s="4">
        <f>AVERAGE(B10:M10)</f>
        <v>0</v>
      </c>
    </row>
    <row r="11" spans="1:14">
      <c r="A11" s="3">
        <v>2024</v>
      </c>
      <c r="B11" s="4">
        <v>74</v>
      </c>
      <c r="C11" s="4">
        <v>78</v>
      </c>
      <c r="D11" s="4">
        <v>63</v>
      </c>
      <c r="E11" s="4">
        <v>63</v>
      </c>
      <c r="F11" s="4">
        <v>71</v>
      </c>
      <c r="G11" s="4">
        <v>69</v>
      </c>
      <c r="H11" s="4">
        <v>87</v>
      </c>
      <c r="I11" s="4">
        <v>83</v>
      </c>
      <c r="J11" s="4">
        <v>83</v>
      </c>
      <c r="K11" s="4">
        <v>84</v>
      </c>
      <c r="L11" s="4">
        <v>76</v>
      </c>
      <c r="M11" s="4">
        <v>67</v>
      </c>
      <c r="N11" s="4">
        <f>AVERAGE(B11:M11)</f>
        <v>0</v>
      </c>
    </row>
    <row r="12" spans="1:14">
      <c r="A12" s="3">
        <v>2025</v>
      </c>
      <c r="B12" s="4">
        <v>73</v>
      </c>
      <c r="C12" s="4">
        <v>62</v>
      </c>
      <c r="D12" s="4">
        <v>64</v>
      </c>
      <c r="E12" s="4">
        <v>66</v>
      </c>
      <c r="F12" s="4">
        <v>74</v>
      </c>
      <c r="G12" s="4">
        <v>76</v>
      </c>
      <c r="H12" s="4">
        <v>84</v>
      </c>
      <c r="I12" s="4">
        <v>85</v>
      </c>
      <c r="J12" s="4">
        <v>86</v>
      </c>
      <c r="K12" s="4">
        <v>84</v>
      </c>
      <c r="L12" s="4">
        <v>72</v>
      </c>
      <c r="M12" s="4">
        <v>76</v>
      </c>
      <c r="N12" s="4">
        <f>AVERAGE(B12:M12)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AVERAGE(B17:M17)</f>
        <v>0</v>
      </c>
    </row>
    <row r="19" spans="1:14">
      <c r="A19" s="10" t="s">
        <v>36</v>
      </c>
    </row>
    <row r="20" spans="1:14">
      <c r="A20" s="11" t="s">
        <v>37</v>
      </c>
      <c r="B20" s="12">
        <v>81.8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20.7109375" customWidth="1"/>
    <col min="2" max="14" width="9.7109375" customWidth="1"/>
  </cols>
  <sheetData>
    <row r="1" spans="1:14">
      <c r="A1" s="1" t="s">
        <v>38</v>
      </c>
    </row>
    <row r="2" spans="1:14">
      <c r="A2" s="2" t="s">
        <v>38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</row>
    <row r="3" spans="1:14">
      <c r="A3" s="3">
        <v>2016</v>
      </c>
      <c r="B3" s="4">
        <v>187.6</v>
      </c>
      <c r="C3" s="4">
        <v>186.1</v>
      </c>
      <c r="D3" s="4">
        <v>236.3</v>
      </c>
      <c r="E3" s="4">
        <v>218.2</v>
      </c>
      <c r="F3" s="4">
        <v>248.1</v>
      </c>
      <c r="G3" s="4">
        <v>230.1</v>
      </c>
      <c r="H3" s="4">
        <v>153.9</v>
      </c>
      <c r="I3" s="4">
        <v>230.5</v>
      </c>
      <c r="J3" s="4">
        <v>202.5</v>
      </c>
      <c r="K3" s="4">
        <v>185.7</v>
      </c>
      <c r="L3" s="4">
        <v>142.8</v>
      </c>
      <c r="M3" s="4">
        <v>135.1</v>
      </c>
      <c r="N3" s="4">
        <f>SUM(B3:M3)</f>
        <v>0</v>
      </c>
    </row>
    <row r="4" spans="1:14">
      <c r="A4" s="3">
        <v>2017</v>
      </c>
      <c r="B4" s="4">
        <v>196.9</v>
      </c>
      <c r="C4" s="4">
        <v>201.3</v>
      </c>
      <c r="D4" s="4">
        <v>216</v>
      </c>
      <c r="E4" s="4">
        <v>248.1</v>
      </c>
      <c r="F4" s="4">
        <v>277.6</v>
      </c>
      <c r="G4" s="4">
        <v>272.3</v>
      </c>
      <c r="H4" s="4">
        <v>119.9</v>
      </c>
      <c r="I4" s="4">
        <v>145.9</v>
      </c>
      <c r="J4" s="4">
        <v>171.6</v>
      </c>
      <c r="K4" s="4">
        <v>195.4</v>
      </c>
      <c r="L4" s="4">
        <v>163.4</v>
      </c>
      <c r="M4" s="4">
        <v>171.3</v>
      </c>
      <c r="N4" s="4">
        <f>SUM(B4:M4)</f>
        <v>0</v>
      </c>
    </row>
    <row r="5" spans="1:14">
      <c r="A5" s="3">
        <v>2018</v>
      </c>
      <c r="B5" s="4">
        <v>185.7</v>
      </c>
      <c r="C5" s="4">
        <v>206.4</v>
      </c>
      <c r="D5" s="4">
        <v>202.7</v>
      </c>
      <c r="E5" s="4">
        <v>203.6</v>
      </c>
      <c r="F5" s="4">
        <v>231.4</v>
      </c>
      <c r="G5" s="4">
        <v>232.2</v>
      </c>
      <c r="H5" s="4">
        <v>234.6</v>
      </c>
      <c r="I5" s="4">
        <v>235.2</v>
      </c>
      <c r="J5" s="4">
        <v>206.9</v>
      </c>
      <c r="K5" s="4">
        <v>217.6</v>
      </c>
      <c r="L5" s="4">
        <v>159</v>
      </c>
      <c r="M5" s="4">
        <v>190.8</v>
      </c>
      <c r="N5" s="4">
        <f>SUM(B5:M5)</f>
        <v>0</v>
      </c>
    </row>
    <row r="6" spans="1:14">
      <c r="A6" s="3">
        <v>2019</v>
      </c>
      <c r="B6" s="4">
        <v>208.3</v>
      </c>
      <c r="C6" s="4">
        <v>205.6</v>
      </c>
      <c r="D6" s="4">
        <v>230.7</v>
      </c>
      <c r="E6" s="4">
        <v>236.2</v>
      </c>
      <c r="F6" s="4">
        <v>340</v>
      </c>
      <c r="G6" s="4">
        <v>284.6</v>
      </c>
      <c r="H6" s="4">
        <v>211.8</v>
      </c>
      <c r="I6" s="4">
        <v>267.7</v>
      </c>
      <c r="J6" s="4">
        <v>201.4</v>
      </c>
      <c r="K6" s="4">
        <v>227.7</v>
      </c>
      <c r="L6" s="4">
        <v>191.4</v>
      </c>
      <c r="M6" s="4">
        <v>149.1</v>
      </c>
      <c r="N6" s="4">
        <f>SUM(B6:M6)</f>
        <v>0</v>
      </c>
    </row>
    <row r="7" spans="1:14">
      <c r="A7" s="3">
        <v>2020</v>
      </c>
      <c r="B7" s="4">
        <v>179.8</v>
      </c>
      <c r="C7" s="4">
        <v>180.2</v>
      </c>
      <c r="D7" s="4">
        <v>258.7</v>
      </c>
      <c r="E7" s="4">
        <v>288.8</v>
      </c>
      <c r="F7" s="4">
        <v>241.9</v>
      </c>
      <c r="G7" s="4">
        <v>267.3</v>
      </c>
      <c r="H7" s="4">
        <v>210.6</v>
      </c>
      <c r="I7" s="4">
        <v>136.8</v>
      </c>
      <c r="J7" s="4">
        <v>213.3</v>
      </c>
      <c r="K7" s="4">
        <v>244</v>
      </c>
      <c r="L7" s="4">
        <v>182.4</v>
      </c>
      <c r="M7" s="4">
        <v>193.4</v>
      </c>
      <c r="N7" s="4">
        <f>SUM(B7:M7)</f>
        <v>0</v>
      </c>
    </row>
    <row r="8" spans="1:14">
      <c r="A8" s="3">
        <v>2021</v>
      </c>
      <c r="B8" s="4">
        <v>189.5</v>
      </c>
      <c r="C8" s="4">
        <v>203</v>
      </c>
      <c r="D8" s="4">
        <v>240.7</v>
      </c>
      <c r="E8" s="4">
        <v>262</v>
      </c>
      <c r="F8" s="4">
        <v>247.5</v>
      </c>
      <c r="G8" s="4">
        <v>247.4</v>
      </c>
      <c r="H8" s="4">
        <v>289.1</v>
      </c>
      <c r="I8" s="4">
        <v>211.3</v>
      </c>
      <c r="J8" s="4">
        <v>231.6</v>
      </c>
      <c r="K8" s="4">
        <v>196.1</v>
      </c>
      <c r="L8" s="4">
        <v>174.1</v>
      </c>
      <c r="M8" s="4">
        <v>177.3</v>
      </c>
      <c r="N8" s="4">
        <f>SUM(B8:M8)</f>
        <v>0</v>
      </c>
    </row>
    <row r="9" spans="1:14">
      <c r="A9" s="3">
        <v>2022</v>
      </c>
      <c r="B9" s="4">
        <v>211</v>
      </c>
      <c r="C9" s="4">
        <v>219.4</v>
      </c>
      <c r="D9" s="4">
        <v>219.7</v>
      </c>
      <c r="E9" s="4">
        <v>281.5</v>
      </c>
      <c r="F9" s="4">
        <v>327.7</v>
      </c>
      <c r="G9" s="4">
        <v>195.6</v>
      </c>
      <c r="H9" s="4">
        <v>227.5</v>
      </c>
      <c r="I9" s="4">
        <v>176.3</v>
      </c>
      <c r="J9" s="4">
        <v>236.3</v>
      </c>
      <c r="K9" s="4">
        <v>211.6</v>
      </c>
      <c r="L9" s="4">
        <v>179.3</v>
      </c>
      <c r="M9" s="4">
        <v>197.1</v>
      </c>
      <c r="N9" s="4">
        <f>SUM(B9:M9)</f>
        <v>0</v>
      </c>
    </row>
    <row r="10" spans="1:14">
      <c r="A10" s="3">
        <v>2023</v>
      </c>
      <c r="B10" s="4">
        <v>177.1</v>
      </c>
      <c r="C10" s="4">
        <v>203.1</v>
      </c>
      <c r="D10" s="4">
        <v>257.9</v>
      </c>
      <c r="E10" s="4">
        <v>213.9</v>
      </c>
      <c r="F10" s="4">
        <v>280.8</v>
      </c>
      <c r="G10" s="4">
        <v>234.1</v>
      </c>
      <c r="H10" s="4">
        <v>202.3</v>
      </c>
      <c r="I10" s="4">
        <v>198.5</v>
      </c>
      <c r="J10" s="4">
        <v>192.8</v>
      </c>
      <c r="K10" s="4">
        <v>229.3</v>
      </c>
      <c r="L10" s="4">
        <v>161</v>
      </c>
      <c r="M10" s="4">
        <v>148.4</v>
      </c>
      <c r="N10" s="4">
        <f>SUM(B10:M10)</f>
        <v>0</v>
      </c>
    </row>
    <row r="11" spans="1:14">
      <c r="A11" s="3">
        <v>2024</v>
      </c>
      <c r="B11" s="4">
        <v>171.7</v>
      </c>
      <c r="C11" s="4">
        <v>146</v>
      </c>
      <c r="D11" s="4">
        <v>221.1</v>
      </c>
      <c r="E11" s="4">
        <v>240.7</v>
      </c>
      <c r="F11" s="4">
        <v>269.3</v>
      </c>
      <c r="G11" s="4">
        <v>298.9</v>
      </c>
      <c r="H11" s="4">
        <v>141.2</v>
      </c>
      <c r="I11" s="4">
        <v>243.8</v>
      </c>
      <c r="J11" s="4">
        <v>192.8</v>
      </c>
      <c r="K11" s="4">
        <v>167.1</v>
      </c>
      <c r="L11" s="4">
        <v>181.9</v>
      </c>
      <c r="M11" s="4">
        <v>202.2</v>
      </c>
      <c r="N11" s="4">
        <f>SUM(B11:M11)</f>
        <v>0</v>
      </c>
    </row>
    <row r="12" spans="1:14">
      <c r="A12" s="3">
        <v>2025</v>
      </c>
      <c r="B12" s="4">
        <v>169.6</v>
      </c>
      <c r="C12" s="4">
        <v>213.7</v>
      </c>
      <c r="D12" s="4">
        <v>235.8</v>
      </c>
      <c r="E12" s="4">
        <v>254.3</v>
      </c>
      <c r="F12" s="4">
        <v>223.7</v>
      </c>
      <c r="G12" s="4">
        <v>208.1</v>
      </c>
      <c r="H12" s="4">
        <v>204.4</v>
      </c>
      <c r="I12" s="4">
        <v>201.1</v>
      </c>
      <c r="J12" s="4">
        <v>170.3</v>
      </c>
      <c r="K12" s="4">
        <v>129.1</v>
      </c>
      <c r="L12" s="4">
        <v>183.2</v>
      </c>
      <c r="M12" s="4">
        <v>146.3</v>
      </c>
      <c r="N12" s="4">
        <f>SUM(B12:M12)</f>
        <v>0</v>
      </c>
    </row>
    <row r="13" spans="1:14">
      <c r="A13" s="5" t="s">
        <v>13</v>
      </c>
      <c r="B13" s="6">
        <f>AVERAGE(B3:B12)</f>
        <v>0</v>
      </c>
      <c r="C13" s="6">
        <f>AVERAGE(C3:C12)</f>
        <v>0</v>
      </c>
      <c r="D13" s="6">
        <f>AVERAGE(D3:D12)</f>
        <v>0</v>
      </c>
      <c r="E13" s="6">
        <f>AVERAGE(E3:E12)</f>
        <v>0</v>
      </c>
      <c r="F13" s="6">
        <f>AVERAGE(F3:F12)</f>
        <v>0</v>
      </c>
      <c r="G13" s="6">
        <f>AVERAGE(G3:G12)</f>
        <v>0</v>
      </c>
      <c r="H13" s="6">
        <f>AVERAGE(H3:H12)</f>
        <v>0</v>
      </c>
      <c r="I13" s="6">
        <f>AVERAGE(I3:I12)</f>
        <v>0</v>
      </c>
      <c r="J13" s="6">
        <f>AVERAGE(J3:J12)</f>
        <v>0</v>
      </c>
      <c r="K13" s="6">
        <f>AVERAGE(K3:K12)</f>
        <v>0</v>
      </c>
      <c r="L13" s="6">
        <f>AVERAGE(L3:L12)</f>
        <v>0</v>
      </c>
      <c r="M13" s="6">
        <f>AVERAGE(M3:M12)</f>
        <v>0</v>
      </c>
      <c r="N13" s="6">
        <f>AVERAGE(N3:N12)</f>
        <v>0</v>
      </c>
    </row>
    <row r="15" spans="1:14">
      <c r="A15" s="7" t="s">
        <v>16</v>
      </c>
    </row>
    <row r="16" spans="1:14">
      <c r="A16" s="8" t="s">
        <v>17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18</v>
      </c>
    </row>
    <row r="17" spans="1:14">
      <c r="A17" s="9" t="s">
        <v>13</v>
      </c>
      <c r="B17" s="4">
        <f>B13</f>
        <v>0</v>
      </c>
      <c r="C17" s="4">
        <f>C13</f>
        <v>0</v>
      </c>
      <c r="D17" s="4">
        <f>D13</f>
        <v>0</v>
      </c>
      <c r="E17" s="4">
        <f>E13</f>
        <v>0</v>
      </c>
      <c r="F17" s="4">
        <f>F13</f>
        <v>0</v>
      </c>
      <c r="G17" s="4">
        <f>G13</f>
        <v>0</v>
      </c>
      <c r="H17" s="4">
        <f>H13</f>
        <v>0</v>
      </c>
      <c r="I17" s="4">
        <f>I13</f>
        <v>0</v>
      </c>
      <c r="J17" s="4">
        <f>J13</f>
        <v>0</v>
      </c>
      <c r="K17" s="4">
        <f>K13</f>
        <v>0</v>
      </c>
      <c r="L17" s="4">
        <f>L13</f>
        <v>0</v>
      </c>
      <c r="M17" s="4">
        <f>M13</f>
        <v>0</v>
      </c>
      <c r="N17" s="4">
        <f>SUM(B17:M17)</f>
        <v>0</v>
      </c>
    </row>
    <row r="19" spans="1:14">
      <c r="A19" s="10" t="s">
        <v>39</v>
      </c>
    </row>
    <row r="20" spans="1:14">
      <c r="A20" s="11" t="s">
        <v>40</v>
      </c>
      <c r="B20" s="11" t="s">
        <v>5</v>
      </c>
    </row>
    <row r="21" spans="1:14">
      <c r="A21" s="11" t="s">
        <v>41</v>
      </c>
      <c r="B21" s="12">
        <v>268.8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기온</vt:lpstr>
      <vt:lpstr>강수량</vt:lpstr>
      <vt:lpstr>풍속</vt:lpstr>
      <vt:lpstr>상대습도</vt:lpstr>
      <vt:lpstr>일조량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2026-05-18T07:11:00Z</dcterms:created>
  <dcterms:modified xsi:type="dcterms:W3CDTF">2026-05-18T07:11:00Z</dcterms:modified>
</cp:coreProperties>
</file>